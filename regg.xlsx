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O52" i="1" l="1"/>
  <c r="P42" i="1"/>
  <c r="L56" i="1"/>
  <c r="L52" i="1"/>
  <c r="B55" i="1" l="1"/>
  <c r="B56" i="1" s="1"/>
  <c r="A55" i="1"/>
  <c r="A56" i="1" s="1"/>
  <c r="A44" i="1"/>
  <c r="A45" i="1" s="1"/>
  <c r="B44" i="1"/>
  <c r="B45" i="1" s="1"/>
  <c r="L37" i="1"/>
  <c r="L6" i="1"/>
  <c r="A34" i="1"/>
  <c r="L32" i="1" s="1"/>
  <c r="B33" i="1"/>
  <c r="L29" i="1" s="1"/>
  <c r="E32" i="1"/>
  <c r="E31" i="1"/>
  <c r="E30" i="1"/>
  <c r="E29" i="1"/>
  <c r="E28" i="1"/>
  <c r="E27" i="1"/>
  <c r="E26" i="1"/>
  <c r="D32" i="1"/>
  <c r="D31" i="1"/>
  <c r="D30" i="1"/>
  <c r="D29" i="1"/>
  <c r="D28" i="1"/>
  <c r="D27" i="1"/>
  <c r="D26" i="1"/>
  <c r="C32" i="1"/>
  <c r="C31" i="1"/>
  <c r="C30" i="1"/>
  <c r="C29" i="1"/>
  <c r="C28" i="1"/>
  <c r="C27" i="1"/>
  <c r="C26" i="1"/>
  <c r="C21" i="1"/>
  <c r="C22" i="1" s="1"/>
  <c r="O20" i="1" s="1"/>
  <c r="B21" i="1"/>
  <c r="B22" i="1" s="1"/>
  <c r="O21" i="1" s="1"/>
  <c r="C10" i="1"/>
  <c r="L7" i="1" s="1"/>
  <c r="F9" i="1"/>
  <c r="F8" i="1"/>
  <c r="F7" i="1"/>
  <c r="F6" i="1"/>
  <c r="F5" i="1"/>
  <c r="F4" i="1"/>
  <c r="E9" i="1"/>
  <c r="E8" i="1"/>
  <c r="E7" i="1"/>
  <c r="E6" i="1"/>
  <c r="E5" i="1"/>
  <c r="E4" i="1"/>
  <c r="D8" i="1"/>
  <c r="D9" i="1"/>
  <c r="D7" i="1"/>
  <c r="D6" i="1"/>
  <c r="D5" i="1"/>
  <c r="D4" i="1"/>
  <c r="C42" i="1" l="1"/>
  <c r="C38" i="1"/>
  <c r="C41" i="1"/>
  <c r="C37" i="1"/>
  <c r="P41" i="1"/>
  <c r="C43" i="1"/>
  <c r="C40" i="1"/>
  <c r="C39" i="1"/>
  <c r="D42" i="1"/>
  <c r="D38" i="1"/>
  <c r="D41" i="1"/>
  <c r="D37" i="1"/>
  <c r="D40" i="1"/>
  <c r="P40" i="1"/>
  <c r="D43" i="1"/>
  <c r="D39" i="1"/>
  <c r="O51" i="1"/>
  <c r="C53" i="1"/>
  <c r="C52" i="1"/>
  <c r="C51" i="1"/>
  <c r="C54" i="1"/>
  <c r="C50" i="1"/>
  <c r="D52" i="1"/>
  <c r="O50" i="1"/>
  <c r="D51" i="1"/>
  <c r="D54" i="1"/>
  <c r="D50" i="1"/>
  <c r="D53" i="1"/>
  <c r="D15" i="1"/>
  <c r="L28" i="1"/>
  <c r="L33" i="1"/>
  <c r="L10" i="1"/>
  <c r="L11" i="1"/>
  <c r="E19" i="1"/>
  <c r="F10" i="1"/>
  <c r="L9" i="1" s="1"/>
  <c r="L14" i="1" s="1"/>
  <c r="E33" i="1"/>
  <c r="L31" i="1" s="1"/>
  <c r="L36" i="1" s="1"/>
  <c r="D10" i="1"/>
  <c r="L5" i="1" s="1"/>
  <c r="L12" i="1" s="1"/>
  <c r="D33" i="1"/>
  <c r="L30" i="1" s="1"/>
  <c r="L35" i="1" s="1"/>
  <c r="E10" i="1"/>
  <c r="L8" i="1" s="1"/>
  <c r="L13" i="1" s="1"/>
  <c r="M13" i="1" s="1"/>
  <c r="M14" i="1" s="1"/>
  <c r="C33" i="1"/>
  <c r="L27" i="1" s="1"/>
  <c r="L34" i="1" s="1"/>
  <c r="D17" i="1"/>
  <c r="D18" i="1"/>
  <c r="D20" i="1"/>
  <c r="D16" i="1"/>
  <c r="D19" i="1"/>
  <c r="E18" i="1"/>
  <c r="E16" i="1"/>
  <c r="E20" i="1"/>
  <c r="E17" i="1"/>
  <c r="E15" i="1"/>
  <c r="F16" i="1" l="1"/>
  <c r="G16" i="1"/>
  <c r="E51" i="1"/>
  <c r="F51" i="1"/>
  <c r="E39" i="1"/>
  <c r="F39" i="1"/>
  <c r="E37" i="1"/>
  <c r="F37" i="1"/>
  <c r="F52" i="1"/>
  <c r="E52" i="1"/>
  <c r="F40" i="1"/>
  <c r="E40" i="1"/>
  <c r="E41" i="1"/>
  <c r="F41" i="1"/>
  <c r="F20" i="1"/>
  <c r="G20" i="1"/>
  <c r="F18" i="1"/>
  <c r="G18" i="1"/>
  <c r="M35" i="1"/>
  <c r="L38" i="1"/>
  <c r="G15" i="1"/>
  <c r="G21" i="1" s="1"/>
  <c r="L20" i="1" s="1"/>
  <c r="F50" i="1"/>
  <c r="E50" i="1"/>
  <c r="F53" i="1"/>
  <c r="E53" i="1"/>
  <c r="E43" i="1"/>
  <c r="F43" i="1"/>
  <c r="E38" i="1"/>
  <c r="F38" i="1"/>
  <c r="F19" i="1"/>
  <c r="G19" i="1"/>
  <c r="F17" i="1"/>
  <c r="G17" i="1"/>
  <c r="L15" i="1"/>
  <c r="F54" i="1"/>
  <c r="E54" i="1"/>
  <c r="E42" i="1"/>
  <c r="F42" i="1"/>
  <c r="E21" i="1"/>
  <c r="D21" i="1"/>
  <c r="F15" i="1"/>
  <c r="F21" i="1" s="1"/>
  <c r="L22" i="1" l="1"/>
  <c r="F44" i="1"/>
  <c r="P34" i="1" s="1"/>
  <c r="E55" i="1"/>
  <c r="L51" i="1" s="1"/>
  <c r="E44" i="1"/>
  <c r="P35" i="1" s="1"/>
  <c r="F55" i="1"/>
  <c r="L50" i="1" s="1"/>
  <c r="L21" i="1"/>
  <c r="G51" i="1" l="1"/>
  <c r="H51" i="1" s="1"/>
  <c r="G54" i="1"/>
  <c r="H54" i="1" s="1"/>
  <c r="G50" i="1"/>
  <c r="H50" i="1" s="1"/>
  <c r="G53" i="1"/>
  <c r="H53" i="1" s="1"/>
  <c r="G52" i="1"/>
  <c r="H52" i="1" s="1"/>
  <c r="H15" i="1"/>
  <c r="H16" i="1"/>
  <c r="I16" i="1" s="1"/>
  <c r="O22" i="1"/>
  <c r="P36" i="1"/>
  <c r="L43" i="1" l="1"/>
  <c r="G42" i="1"/>
  <c r="H42" i="1" s="1"/>
  <c r="G37" i="1"/>
  <c r="H37" i="1" s="1"/>
  <c r="G38" i="1"/>
  <c r="H38" i="1" s="1"/>
  <c r="G43" i="1"/>
  <c r="H43" i="1" s="1"/>
  <c r="G40" i="1"/>
  <c r="H40" i="1" s="1"/>
  <c r="G39" i="1"/>
  <c r="H39" i="1" s="1"/>
  <c r="G41" i="1"/>
  <c r="H41" i="1" s="1"/>
  <c r="S14" i="1"/>
  <c r="S12" i="1"/>
  <c r="H19" i="1"/>
  <c r="I19" i="1" s="1"/>
  <c r="S13" i="1"/>
  <c r="S9" i="1"/>
  <c r="H18" i="1"/>
  <c r="I18" i="1" s="1"/>
  <c r="S10" i="1"/>
  <c r="S8" i="1"/>
  <c r="S11" i="1"/>
  <c r="H20" i="1"/>
  <c r="I20" i="1" s="1"/>
  <c r="H17" i="1"/>
  <c r="I17" i="1" s="1"/>
  <c r="I15" i="1"/>
  <c r="I21" i="1" l="1"/>
  <c r="H21" i="1"/>
</calcChain>
</file>

<file path=xl/sharedStrings.xml><?xml version="1.0" encoding="utf-8"?>
<sst xmlns="http://schemas.openxmlformats.org/spreadsheetml/2006/main" count="89" uniqueCount="65">
  <si>
    <r>
      <t xml:space="preserve">          </t>
    </r>
    <r>
      <rPr>
        <b/>
        <i/>
        <sz val="18"/>
        <color theme="1"/>
        <rFont val="Calibri"/>
        <family val="2"/>
        <scheme val="minor"/>
      </rPr>
      <t>REGRESSION</t>
    </r>
  </si>
  <si>
    <t xml:space="preserve">    meal</t>
  </si>
  <si>
    <t xml:space="preserve">      Observed bill(Xi)</t>
  </si>
  <si>
    <t xml:space="preserve">    Tip(yi)</t>
  </si>
  <si>
    <t xml:space="preserve"> </t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</si>
  <si>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     xy</t>
    </r>
  </si>
  <si>
    <t xml:space="preserve">      x^2</t>
  </si>
  <si>
    <t xml:space="preserve">     y^2</t>
  </si>
  <si>
    <t xml:space="preserve"> n</t>
  </si>
  <si>
    <t>total xy</t>
  </si>
  <si>
    <t>total y</t>
  </si>
  <si>
    <t>total x^2</t>
  </si>
  <si>
    <t>total y^2</t>
  </si>
  <si>
    <t>total (x)^2</t>
  </si>
  <si>
    <t>total(y)^2</t>
  </si>
  <si>
    <t xml:space="preserve">   Total</t>
  </si>
  <si>
    <t>total x</t>
  </si>
  <si>
    <t>r</t>
  </si>
  <si>
    <t>positive correlation</t>
  </si>
  <si>
    <t xml:space="preserve">     Xi-x</t>
  </si>
  <si>
    <t xml:space="preserve">     Yi-y</t>
  </si>
  <si>
    <t xml:space="preserve">   Sum</t>
  </si>
  <si>
    <t xml:space="preserve">   Mean</t>
  </si>
  <si>
    <t xml:space="preserve">   (xi-x)^2</t>
  </si>
  <si>
    <t xml:space="preserve">     SLOP b1</t>
  </si>
  <si>
    <t>total(xi-x)^2</t>
  </si>
  <si>
    <t>b1</t>
  </si>
  <si>
    <t xml:space="preserve">   INTERCEPT</t>
  </si>
  <si>
    <t>b0</t>
  </si>
  <si>
    <t>mean y</t>
  </si>
  <si>
    <t>mean x</t>
  </si>
  <si>
    <t>corre</t>
  </si>
  <si>
    <t xml:space="preserve">     Total quantity (Y)</t>
  </si>
  <si>
    <t xml:space="preserve">    Unit price(X)</t>
  </si>
  <si>
    <t xml:space="preserve">    xy</t>
  </si>
  <si>
    <t xml:space="preserve">       x^2</t>
  </si>
  <si>
    <t xml:space="preserve">    Y^2</t>
  </si>
  <si>
    <t xml:space="preserve"> Total</t>
  </si>
  <si>
    <t>total (xi-x)(yi-y)</t>
  </si>
  <si>
    <t xml:space="preserve">  </t>
  </si>
  <si>
    <t xml:space="preserve">   (  xi-x)(yi-y)</t>
  </si>
  <si>
    <t xml:space="preserve">            Y^</t>
  </si>
  <si>
    <t xml:space="preserve">    (Yi-Y^)^2</t>
  </si>
  <si>
    <t>Y^  1</t>
  </si>
  <si>
    <t>Y^  2</t>
  </si>
  <si>
    <t xml:space="preserve"> Y ^3</t>
  </si>
  <si>
    <t>x=43</t>
  </si>
  <si>
    <t>R</t>
  </si>
  <si>
    <t xml:space="preserve">     UNIT price x</t>
  </si>
  <si>
    <t xml:space="preserve">    total quantity(Y)</t>
  </si>
  <si>
    <t>SLOP  B1</t>
  </si>
  <si>
    <t>total (xi-x)^2</t>
  </si>
  <si>
    <t xml:space="preserve"> INTERCEPT</t>
  </si>
  <si>
    <t xml:space="preserve"> mean y</t>
  </si>
  <si>
    <t>y^</t>
  </si>
  <si>
    <t>y^2</t>
  </si>
  <si>
    <t xml:space="preserve"> Q of potato Y</t>
  </si>
  <si>
    <t xml:space="preserve"> price of potato X</t>
  </si>
  <si>
    <t xml:space="preserve">   Yi-y</t>
  </si>
  <si>
    <t xml:space="preserve"> (xi-x)^2</t>
  </si>
  <si>
    <t xml:space="preserve"> (xi-x)(yi-y)</t>
  </si>
  <si>
    <t xml:space="preserve">  y^</t>
  </si>
  <si>
    <t>(yi-y^)^2</t>
  </si>
  <si>
    <t>slop b1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</si>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</sst>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0" fontId="1" fillId="9" borderId="0" xfId="0" applyFont="1" applyFill="1"/>
    <xf numFmtId="0" fontId="1" fillId="7" borderId="0" xfId="0" applyFont="1" applyFill="1"/>
    <xf numFmtId="0" fontId="0" fillId="8" borderId="0" xfId="0" applyFill="1"/>
    <xf numFmtId="0" fontId="0" fillId="10" borderId="0" xfId="0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49" zoomScale="115" zoomScaleNormal="115" workbookViewId="0">
      <selection activeCell="J58" sqref="J58"/>
    </sheetView>
  </sheetViews>
  <sheetFormatPr defaultRowHeight="15" x14ac:dyDescent="0.25"/>
  <cols>
    <col min="1" max="1" width="15.7109375" customWidth="1"/>
    <col min="2" max="2" width="18.7109375" customWidth="1"/>
    <col min="6" max="6" width="13" customWidth="1"/>
    <col min="7" max="9" width="14.7109375" customWidth="1"/>
    <col min="10" max="10" width="18.140625" customWidth="1"/>
    <col min="11" max="11" width="19.7109375" customWidth="1"/>
    <col min="13" max="13" width="11.140625" bestFit="1" customWidth="1"/>
    <col min="15" max="15" width="19.85546875" customWidth="1"/>
    <col min="17" max="17" width="3.5703125" customWidth="1"/>
    <col min="18" max="18" width="6.28515625" customWidth="1"/>
  </cols>
  <sheetData>
    <row r="1" spans="1:19" ht="23.25" x14ac:dyDescent="0.35">
      <c r="A1" t="s">
        <v>0</v>
      </c>
    </row>
    <row r="2" spans="1:19" x14ac:dyDescent="0.25">
      <c r="A2" t="s">
        <v>31</v>
      </c>
    </row>
    <row r="3" spans="1:19" x14ac:dyDescent="0.25">
      <c r="A3" s="1" t="s">
        <v>1</v>
      </c>
      <c r="B3" s="1" t="s">
        <v>2</v>
      </c>
      <c r="C3" s="1" t="s">
        <v>3</v>
      </c>
      <c r="D3" s="2" t="s">
        <v>5</v>
      </c>
      <c r="E3" s="1" t="s">
        <v>6</v>
      </c>
      <c r="F3" s="1" t="s">
        <v>7</v>
      </c>
      <c r="K3" s="3"/>
      <c r="L3" s="3"/>
      <c r="M3" s="3"/>
      <c r="N3" s="3"/>
      <c r="O3" s="3"/>
      <c r="P3" s="3"/>
    </row>
    <row r="4" spans="1:19" x14ac:dyDescent="0.25">
      <c r="A4" s="4">
        <v>1</v>
      </c>
      <c r="B4" s="4">
        <v>34</v>
      </c>
      <c r="C4" s="4">
        <v>5</v>
      </c>
      <c r="D4" s="4">
        <f t="shared" ref="D4:D9" si="0">B4*C4</f>
        <v>170</v>
      </c>
      <c r="E4" s="4">
        <f t="shared" ref="E4:F9" si="1">B4^2</f>
        <v>1156</v>
      </c>
      <c r="F4" s="4">
        <f t="shared" si="1"/>
        <v>25</v>
      </c>
      <c r="K4" s="3" t="s">
        <v>8</v>
      </c>
      <c r="L4" s="3">
        <v>6</v>
      </c>
      <c r="M4" s="3"/>
      <c r="N4" s="3"/>
      <c r="O4" s="3"/>
      <c r="P4" s="3"/>
    </row>
    <row r="5" spans="1:19" x14ac:dyDescent="0.25">
      <c r="A5" s="4">
        <v>2</v>
      </c>
      <c r="B5" s="4">
        <v>108</v>
      </c>
      <c r="C5" s="4">
        <v>17</v>
      </c>
      <c r="D5" s="4">
        <f t="shared" si="0"/>
        <v>1836</v>
      </c>
      <c r="E5" s="4">
        <f t="shared" si="1"/>
        <v>11664</v>
      </c>
      <c r="F5" s="4">
        <f t="shared" si="1"/>
        <v>289</v>
      </c>
      <c r="K5" s="3" t="s">
        <v>9</v>
      </c>
      <c r="L5" s="3">
        <f>D10</f>
        <v>5055</v>
      </c>
      <c r="M5" s="3"/>
      <c r="N5" s="3"/>
      <c r="O5" s="3"/>
      <c r="P5" s="3"/>
    </row>
    <row r="6" spans="1:19" x14ac:dyDescent="0.25">
      <c r="A6" s="4">
        <v>3</v>
      </c>
      <c r="B6" s="4">
        <v>64</v>
      </c>
      <c r="C6" s="4">
        <v>11</v>
      </c>
      <c r="D6" s="4">
        <f t="shared" si="0"/>
        <v>704</v>
      </c>
      <c r="E6" s="4">
        <f t="shared" si="1"/>
        <v>4096</v>
      </c>
      <c r="F6" s="4">
        <f t="shared" si="1"/>
        <v>121</v>
      </c>
      <c r="K6" s="3" t="s">
        <v>16</v>
      </c>
      <c r="L6" s="3">
        <f>B10</f>
        <v>444</v>
      </c>
      <c r="M6" s="3"/>
      <c r="N6" s="3"/>
      <c r="O6" s="3"/>
      <c r="P6" s="3"/>
    </row>
    <row r="7" spans="1:19" x14ac:dyDescent="0.25">
      <c r="A7" s="4">
        <v>4</v>
      </c>
      <c r="B7" s="4">
        <v>88</v>
      </c>
      <c r="C7" s="4">
        <v>8</v>
      </c>
      <c r="D7" s="4">
        <f t="shared" si="0"/>
        <v>704</v>
      </c>
      <c r="E7" s="4">
        <f t="shared" si="1"/>
        <v>7744</v>
      </c>
      <c r="F7" s="4">
        <f t="shared" si="1"/>
        <v>64</v>
      </c>
      <c r="K7" s="3" t="s">
        <v>10</v>
      </c>
      <c r="L7" s="3">
        <f>C10</f>
        <v>60</v>
      </c>
      <c r="M7" s="3"/>
      <c r="N7" s="3"/>
      <c r="O7" s="3"/>
      <c r="P7" s="3"/>
    </row>
    <row r="8" spans="1:19" x14ac:dyDescent="0.25">
      <c r="A8" s="4">
        <v>5</v>
      </c>
      <c r="B8" s="4">
        <v>99</v>
      </c>
      <c r="C8" s="4">
        <v>14</v>
      </c>
      <c r="D8" s="4">
        <f t="shared" si="0"/>
        <v>1386</v>
      </c>
      <c r="E8" s="4">
        <f t="shared" si="1"/>
        <v>9801</v>
      </c>
      <c r="F8" s="4">
        <f t="shared" si="1"/>
        <v>196</v>
      </c>
      <c r="K8" s="3" t="s">
        <v>11</v>
      </c>
      <c r="L8" s="3">
        <f>E10</f>
        <v>37062</v>
      </c>
      <c r="M8" s="3"/>
      <c r="N8" s="3"/>
      <c r="O8" s="3"/>
      <c r="P8" s="3"/>
      <c r="R8" t="s">
        <v>43</v>
      </c>
      <c r="S8">
        <f>O22+(L22*B15)</f>
        <v>4.1512125534950073</v>
      </c>
    </row>
    <row r="9" spans="1:19" x14ac:dyDescent="0.25">
      <c r="A9" s="4">
        <v>6</v>
      </c>
      <c r="B9" s="4">
        <v>51</v>
      </c>
      <c r="C9" s="4">
        <v>5</v>
      </c>
      <c r="D9" s="4">
        <f t="shared" si="0"/>
        <v>255</v>
      </c>
      <c r="E9" s="4">
        <f t="shared" si="1"/>
        <v>2601</v>
      </c>
      <c r="F9" s="4">
        <f t="shared" si="1"/>
        <v>25</v>
      </c>
      <c r="K9" s="3" t="s">
        <v>12</v>
      </c>
      <c r="L9" s="3">
        <f>F10</f>
        <v>720</v>
      </c>
      <c r="M9" s="3"/>
      <c r="N9" s="3"/>
      <c r="O9" s="3"/>
      <c r="P9" s="3"/>
      <c r="R9" t="s">
        <v>44</v>
      </c>
      <c r="S9">
        <f>O22+(L22*B16)</f>
        <v>14.971469329529244</v>
      </c>
    </row>
    <row r="10" spans="1:19" x14ac:dyDescent="0.25">
      <c r="A10" s="2" t="s">
        <v>15</v>
      </c>
      <c r="B10" s="2">
        <v>444</v>
      </c>
      <c r="C10" s="2">
        <f>SUM(C4:C9)</f>
        <v>60</v>
      </c>
      <c r="D10" s="2">
        <f>SUM(D4:D9)</f>
        <v>5055</v>
      </c>
      <c r="E10" s="2">
        <f>SUM(E4:E9)</f>
        <v>37062</v>
      </c>
      <c r="F10" s="2">
        <f>SUM(F4:F9)</f>
        <v>720</v>
      </c>
      <c r="K10" s="3" t="s">
        <v>13</v>
      </c>
      <c r="L10" s="3">
        <f>C10^2</f>
        <v>3600</v>
      </c>
      <c r="M10" s="3"/>
      <c r="N10" s="3"/>
      <c r="O10" s="3"/>
      <c r="P10" s="3"/>
      <c r="R10" t="s">
        <v>45</v>
      </c>
      <c r="S10">
        <f>O22+(L22*B17)</f>
        <v>8.5378031383737518</v>
      </c>
    </row>
    <row r="11" spans="1:19" x14ac:dyDescent="0.25">
      <c r="K11" s="3" t="s">
        <v>14</v>
      </c>
      <c r="L11" s="3">
        <f>C10^2</f>
        <v>3600</v>
      </c>
      <c r="M11" s="3"/>
      <c r="N11" s="3"/>
      <c r="O11" s="3"/>
      <c r="P11" s="3"/>
      <c r="S11">
        <f>O22+(L22*B18)</f>
        <v>12.047075606276747</v>
      </c>
    </row>
    <row r="12" spans="1:19" x14ac:dyDescent="0.25">
      <c r="K12" s="3"/>
      <c r="L12" s="3">
        <f>6*(L5)-(L6)*(L7)</f>
        <v>3690</v>
      </c>
      <c r="M12" s="3"/>
      <c r="N12" s="3"/>
      <c r="O12" s="3"/>
      <c r="P12" s="3"/>
      <c r="S12">
        <f>O22+(L22*B19)</f>
        <v>13.655492154065621</v>
      </c>
    </row>
    <row r="13" spans="1:19" x14ac:dyDescent="0.25">
      <c r="K13" s="3"/>
      <c r="L13" s="3">
        <f>6*(L8)-L10</f>
        <v>218772</v>
      </c>
      <c r="M13" s="3">
        <f>L13*L14</f>
        <v>157515840</v>
      </c>
      <c r="N13" s="3"/>
      <c r="O13" s="3"/>
      <c r="P13" s="3"/>
      <c r="S13">
        <f>O22+(L22*B20)</f>
        <v>6.6369472182596292</v>
      </c>
    </row>
    <row r="14" spans="1:19" x14ac:dyDescent="0.25">
      <c r="A14" s="1" t="s">
        <v>1</v>
      </c>
      <c r="B14" s="1" t="s">
        <v>2</v>
      </c>
      <c r="C14" s="1" t="s">
        <v>3</v>
      </c>
      <c r="D14" s="1" t="s">
        <v>19</v>
      </c>
      <c r="E14" s="1" t="s">
        <v>20</v>
      </c>
      <c r="F14" s="1" t="s">
        <v>23</v>
      </c>
      <c r="G14" s="1" t="s">
        <v>40</v>
      </c>
      <c r="H14" s="1" t="s">
        <v>41</v>
      </c>
      <c r="I14" s="1" t="s">
        <v>42</v>
      </c>
      <c r="K14" s="3"/>
      <c r="L14" s="3">
        <f>6*(L9)-(L11)</f>
        <v>720</v>
      </c>
      <c r="M14" s="3">
        <f>SQRT(M13)</f>
        <v>12550.531462850488</v>
      </c>
      <c r="N14" s="3"/>
      <c r="O14" s="3"/>
      <c r="P14" s="3"/>
      <c r="R14" t="s">
        <v>46</v>
      </c>
      <c r="S14">
        <f>O22+(L22*43)</f>
        <v>5.4671897289586306</v>
      </c>
    </row>
    <row r="15" spans="1:19" x14ac:dyDescent="0.25">
      <c r="A15" s="5">
        <v>1</v>
      </c>
      <c r="B15" s="5">
        <v>34</v>
      </c>
      <c r="C15" s="5">
        <v>5</v>
      </c>
      <c r="D15" s="5">
        <f>B15-B22</f>
        <v>-40</v>
      </c>
      <c r="E15" s="5">
        <f>C15-C22</f>
        <v>-5</v>
      </c>
      <c r="F15" s="5">
        <f t="shared" ref="F15:F20" si="2">D15^2</f>
        <v>1600</v>
      </c>
      <c r="G15">
        <f t="shared" ref="G15:G20" si="3">D15*E15</f>
        <v>200</v>
      </c>
      <c r="H15">
        <f>O23+L22*B15</f>
        <v>4.9714693295292438</v>
      </c>
      <c r="I15">
        <f t="shared" ref="I15:I20" si="4">(C15-H15)^2</f>
        <v>8.1399915751087938E-4</v>
      </c>
      <c r="K15" s="3" t="s">
        <v>17</v>
      </c>
      <c r="L15" s="3">
        <f>L12/M14</f>
        <v>0.29401145369201154</v>
      </c>
      <c r="M15" s="3"/>
      <c r="N15" s="3" t="s">
        <v>18</v>
      </c>
      <c r="O15" s="3"/>
      <c r="P15" s="3"/>
    </row>
    <row r="16" spans="1:19" x14ac:dyDescent="0.25">
      <c r="A16" s="5">
        <v>2</v>
      </c>
      <c r="B16" s="5">
        <v>108</v>
      </c>
      <c r="C16" s="5">
        <v>17</v>
      </c>
      <c r="D16" s="5">
        <f>B16-B22</f>
        <v>34</v>
      </c>
      <c r="E16" s="5">
        <f>C16-C22</f>
        <v>7</v>
      </c>
      <c r="F16" s="5">
        <f t="shared" si="2"/>
        <v>1156</v>
      </c>
      <c r="G16">
        <f t="shared" si="3"/>
        <v>238</v>
      </c>
      <c r="H16">
        <f>O23+(L22*B16)</f>
        <v>15.79172610556348</v>
      </c>
      <c r="I16">
        <f t="shared" si="4"/>
        <v>1.4599258039767939</v>
      </c>
      <c r="K16" s="3"/>
      <c r="L16" s="3"/>
      <c r="M16" s="3"/>
      <c r="N16" s="3"/>
      <c r="O16" s="3"/>
      <c r="P16" s="3"/>
    </row>
    <row r="17" spans="1:18" x14ac:dyDescent="0.25">
      <c r="A17" s="5">
        <v>3</v>
      </c>
      <c r="B17" s="5">
        <v>64</v>
      </c>
      <c r="C17" s="5">
        <v>11</v>
      </c>
      <c r="D17" s="5">
        <f>B17-B22</f>
        <v>-10</v>
      </c>
      <c r="E17" s="5">
        <f>C17-C22</f>
        <v>1</v>
      </c>
      <c r="F17" s="5">
        <f t="shared" si="2"/>
        <v>100</v>
      </c>
      <c r="G17">
        <f t="shared" si="3"/>
        <v>-10</v>
      </c>
      <c r="H17">
        <f>O22+(L22*B17)</f>
        <v>8.5378031383737518</v>
      </c>
      <c r="I17">
        <f t="shared" si="4"/>
        <v>6.062413385402146</v>
      </c>
    </row>
    <row r="18" spans="1:18" x14ac:dyDescent="0.25">
      <c r="A18" s="5">
        <v>4</v>
      </c>
      <c r="B18" s="5">
        <v>88</v>
      </c>
      <c r="C18" s="5">
        <v>8</v>
      </c>
      <c r="D18" s="5">
        <f>B18-B22</f>
        <v>14</v>
      </c>
      <c r="E18" s="5">
        <f>C18-C22</f>
        <v>-2</v>
      </c>
      <c r="F18" s="5">
        <f t="shared" si="2"/>
        <v>196</v>
      </c>
      <c r="G18">
        <f t="shared" si="3"/>
        <v>-28</v>
      </c>
      <c r="H18">
        <f>O22+(L22*B18)</f>
        <v>12.047075606276747</v>
      </c>
      <c r="I18">
        <f t="shared" si="4"/>
        <v>16.378820962920305</v>
      </c>
    </row>
    <row r="19" spans="1:18" ht="15.75" x14ac:dyDescent="0.25">
      <c r="A19" s="5">
        <v>5</v>
      </c>
      <c r="B19" s="5">
        <v>99</v>
      </c>
      <c r="C19" s="5">
        <v>14</v>
      </c>
      <c r="D19" s="5">
        <f>B19-B22</f>
        <v>25</v>
      </c>
      <c r="E19" s="5">
        <f>C19-C22</f>
        <v>4</v>
      </c>
      <c r="F19" s="5">
        <f t="shared" si="2"/>
        <v>625</v>
      </c>
      <c r="G19">
        <f t="shared" si="3"/>
        <v>100</v>
      </c>
      <c r="H19">
        <f>O22+(L22*B19)</f>
        <v>13.655492154065621</v>
      </c>
      <c r="I19">
        <f t="shared" si="4"/>
        <v>0.11868565591034559</v>
      </c>
      <c r="K19" s="7" t="s">
        <v>24</v>
      </c>
      <c r="L19" s="8"/>
      <c r="N19" s="10" t="s">
        <v>27</v>
      </c>
      <c r="O19" s="10"/>
      <c r="P19" s="10" t="s">
        <v>28</v>
      </c>
      <c r="R19" t="s">
        <v>39</v>
      </c>
    </row>
    <row r="20" spans="1:18" x14ac:dyDescent="0.25">
      <c r="A20" s="5">
        <v>6</v>
      </c>
      <c r="B20" s="5">
        <v>51</v>
      </c>
      <c r="C20" s="5">
        <v>5</v>
      </c>
      <c r="D20" s="5">
        <f>B20-B22</f>
        <v>-23</v>
      </c>
      <c r="E20" s="5">
        <f>C20-C22</f>
        <v>-5</v>
      </c>
      <c r="F20" s="5">
        <f t="shared" si="2"/>
        <v>529</v>
      </c>
      <c r="G20">
        <f t="shared" si="3"/>
        <v>115</v>
      </c>
      <c r="H20">
        <f>O22+(L22*B20)</f>
        <v>6.6369472182596292</v>
      </c>
      <c r="I20">
        <f t="shared" si="4"/>
        <v>2.6795961953679379</v>
      </c>
      <c r="K20" s="8" t="s">
        <v>38</v>
      </c>
      <c r="L20" s="8">
        <f>G21</f>
        <v>615</v>
      </c>
      <c r="N20" s="8" t="s">
        <v>29</v>
      </c>
      <c r="O20" s="8">
        <f>C22</f>
        <v>10</v>
      </c>
      <c r="P20" s="8"/>
    </row>
    <row r="21" spans="1:18" x14ac:dyDescent="0.25">
      <c r="A21" s="2" t="s">
        <v>21</v>
      </c>
      <c r="B21" s="2">
        <f t="shared" ref="B21:I21" si="5">SUM(B15:B20)</f>
        <v>444</v>
      </c>
      <c r="C21" s="2">
        <f t="shared" si="5"/>
        <v>60</v>
      </c>
      <c r="D21" s="2">
        <f t="shared" si="5"/>
        <v>0</v>
      </c>
      <c r="E21" s="2">
        <f t="shared" si="5"/>
        <v>0</v>
      </c>
      <c r="F21" s="2">
        <f t="shared" si="5"/>
        <v>4206</v>
      </c>
      <c r="G21" s="2">
        <f t="shared" si="5"/>
        <v>615</v>
      </c>
      <c r="H21" s="2">
        <f t="shared" si="5"/>
        <v>61.640513552068477</v>
      </c>
      <c r="I21" s="2">
        <f t="shared" si="5"/>
        <v>26.700256002735038</v>
      </c>
      <c r="K21" s="8" t="s">
        <v>25</v>
      </c>
      <c r="L21" s="8">
        <f>F21</f>
        <v>4206</v>
      </c>
      <c r="N21" s="8" t="s">
        <v>30</v>
      </c>
      <c r="O21" s="8">
        <f>B22</f>
        <v>74</v>
      </c>
      <c r="P21" s="8"/>
    </row>
    <row r="22" spans="1:18" x14ac:dyDescent="0.25">
      <c r="A22" s="2" t="s">
        <v>22</v>
      </c>
      <c r="B22" s="2">
        <f>B21/6</f>
        <v>74</v>
      </c>
      <c r="C22" s="2">
        <f>C21/6</f>
        <v>10</v>
      </c>
      <c r="D22" s="2"/>
      <c r="E22" s="2"/>
      <c r="F22" s="2"/>
      <c r="K22" s="8" t="s">
        <v>26</v>
      </c>
      <c r="L22" s="8">
        <f>L20/L21</f>
        <v>0.14621968616262482</v>
      </c>
      <c r="N22" s="8" t="s">
        <v>28</v>
      </c>
      <c r="O22" s="8">
        <f>O20-(L22*O21)</f>
        <v>-0.82025677603423652</v>
      </c>
      <c r="P22" s="8"/>
    </row>
    <row r="24" spans="1:18" x14ac:dyDescent="0.25">
      <c r="A24">
        <v>2</v>
      </c>
    </row>
    <row r="25" spans="1:18" x14ac:dyDescent="0.25">
      <c r="A25" s="9" t="s">
        <v>33</v>
      </c>
      <c r="B25" s="9" t="s">
        <v>32</v>
      </c>
      <c r="C25" s="9" t="s">
        <v>34</v>
      </c>
      <c r="D25" s="9" t="s">
        <v>35</v>
      </c>
      <c r="E25" s="9" t="s">
        <v>36</v>
      </c>
    </row>
    <row r="26" spans="1:18" x14ac:dyDescent="0.25">
      <c r="A26" s="8">
        <v>130</v>
      </c>
      <c r="B26" s="8">
        <v>10</v>
      </c>
      <c r="C26" s="8">
        <f t="shared" ref="C26:C32" si="6">A26*B26</f>
        <v>1300</v>
      </c>
      <c r="D26" s="8">
        <f t="shared" ref="D26:E32" si="7">A26^2</f>
        <v>16900</v>
      </c>
      <c r="E26" s="8">
        <f t="shared" si="7"/>
        <v>100</v>
      </c>
      <c r="K26" s="6" t="s">
        <v>8</v>
      </c>
      <c r="L26" s="6">
        <v>7</v>
      </c>
      <c r="M26" s="6"/>
    </row>
    <row r="27" spans="1:18" x14ac:dyDescent="0.25">
      <c r="A27" s="8">
        <v>125</v>
      </c>
      <c r="B27" s="8">
        <v>20</v>
      </c>
      <c r="C27" s="8">
        <f t="shared" si="6"/>
        <v>2500</v>
      </c>
      <c r="D27" s="8">
        <f t="shared" si="7"/>
        <v>15625</v>
      </c>
      <c r="E27" s="8">
        <f t="shared" si="7"/>
        <v>400</v>
      </c>
      <c r="K27" s="6" t="s">
        <v>9</v>
      </c>
      <c r="L27" s="6">
        <f>C33</f>
        <v>25821</v>
      </c>
      <c r="M27" s="6"/>
    </row>
    <row r="28" spans="1:18" x14ac:dyDescent="0.25">
      <c r="A28" s="8">
        <v>120</v>
      </c>
      <c r="B28" s="8">
        <v>30</v>
      </c>
      <c r="C28" s="8">
        <f t="shared" si="6"/>
        <v>3600</v>
      </c>
      <c r="D28" s="8">
        <f t="shared" si="7"/>
        <v>14400</v>
      </c>
      <c r="E28" s="8">
        <f t="shared" si="7"/>
        <v>900</v>
      </c>
      <c r="K28" s="6" t="s">
        <v>16</v>
      </c>
      <c r="L28" s="6">
        <f>A34</f>
        <v>815</v>
      </c>
      <c r="M28" s="6"/>
    </row>
    <row r="29" spans="1:18" x14ac:dyDescent="0.25">
      <c r="A29" s="8">
        <v>115</v>
      </c>
      <c r="B29" s="8">
        <v>35</v>
      </c>
      <c r="C29" s="8">
        <f t="shared" si="6"/>
        <v>4025</v>
      </c>
      <c r="D29" s="8">
        <f t="shared" si="7"/>
        <v>13225</v>
      </c>
      <c r="E29" s="8">
        <f t="shared" si="7"/>
        <v>1225</v>
      </c>
      <c r="K29" s="6" t="s">
        <v>10</v>
      </c>
      <c r="L29" s="6">
        <f>B33</f>
        <v>228</v>
      </c>
      <c r="M29" s="6"/>
    </row>
    <row r="30" spans="1:18" x14ac:dyDescent="0.25">
      <c r="A30" s="8">
        <v>110</v>
      </c>
      <c r="B30" s="8">
        <v>40</v>
      </c>
      <c r="C30" s="8">
        <f t="shared" si="6"/>
        <v>4400</v>
      </c>
      <c r="D30" s="8">
        <f t="shared" si="7"/>
        <v>12100</v>
      </c>
      <c r="E30" s="8">
        <f t="shared" si="7"/>
        <v>1600</v>
      </c>
      <c r="K30" s="6" t="s">
        <v>11</v>
      </c>
      <c r="L30" s="6">
        <f>D33</f>
        <v>95363</v>
      </c>
      <c r="M30" s="6"/>
    </row>
    <row r="31" spans="1:18" x14ac:dyDescent="0.25">
      <c r="A31" s="8">
        <v>108</v>
      </c>
      <c r="B31" s="8">
        <v>45</v>
      </c>
      <c r="C31" s="8">
        <f t="shared" si="6"/>
        <v>4860</v>
      </c>
      <c r="D31" s="8">
        <f t="shared" si="7"/>
        <v>11664</v>
      </c>
      <c r="E31" s="8">
        <f t="shared" si="7"/>
        <v>2025</v>
      </c>
      <c r="K31" s="6" t="s">
        <v>12</v>
      </c>
      <c r="L31" s="6">
        <f>E33</f>
        <v>8554</v>
      </c>
      <c r="M31" s="6"/>
    </row>
    <row r="32" spans="1:18" x14ac:dyDescent="0.25">
      <c r="A32" s="8">
        <v>107</v>
      </c>
      <c r="B32" s="8">
        <v>48</v>
      </c>
      <c r="C32" s="8">
        <f t="shared" si="6"/>
        <v>5136</v>
      </c>
      <c r="D32" s="8">
        <f t="shared" si="7"/>
        <v>11449</v>
      </c>
      <c r="E32" s="8">
        <f t="shared" si="7"/>
        <v>2304</v>
      </c>
      <c r="K32" s="6" t="s">
        <v>13</v>
      </c>
      <c r="L32" s="6">
        <f>A34^2</f>
        <v>664225</v>
      </c>
      <c r="M32" s="6"/>
    </row>
    <row r="33" spans="1:16" x14ac:dyDescent="0.25">
      <c r="A33" t="s">
        <v>37</v>
      </c>
      <c r="B33">
        <f>SUM(B26:B32)</f>
        <v>228</v>
      </c>
      <c r="C33">
        <f>SUM(C26:C32)</f>
        <v>25821</v>
      </c>
      <c r="D33">
        <f>SUM(D26:D32)</f>
        <v>95363</v>
      </c>
      <c r="E33">
        <f>SUM(E26:E32)</f>
        <v>8554</v>
      </c>
      <c r="K33" s="6" t="s">
        <v>14</v>
      </c>
      <c r="L33" s="6">
        <f>B33^2</f>
        <v>51984</v>
      </c>
      <c r="M33" s="6"/>
      <c r="O33" t="s">
        <v>50</v>
      </c>
    </row>
    <row r="34" spans="1:16" x14ac:dyDescent="0.25">
      <c r="A34">
        <f>SUM(A26:A33)</f>
        <v>815</v>
      </c>
      <c r="K34" s="6" t="s">
        <v>17</v>
      </c>
      <c r="L34" s="6">
        <f>7*(L27)-(L28)*(L29)</f>
        <v>-5073</v>
      </c>
      <c r="M34" s="6"/>
      <c r="O34" t="s">
        <v>38</v>
      </c>
      <c r="P34">
        <f>F44</f>
        <v>-724.71428571428578</v>
      </c>
    </row>
    <row r="35" spans="1:16" x14ac:dyDescent="0.25">
      <c r="K35" s="6"/>
      <c r="L35" s="6">
        <f>7*(L30)-(L32)</f>
        <v>3316</v>
      </c>
      <c r="M35" s="6">
        <f>L35*L36</f>
        <v>-2188560</v>
      </c>
      <c r="O35" t="s">
        <v>51</v>
      </c>
      <c r="P35">
        <f>E44</f>
        <v>473.71428571428572</v>
      </c>
    </row>
    <row r="36" spans="1:16" x14ac:dyDescent="0.25">
      <c r="A36" s="1" t="s">
        <v>48</v>
      </c>
      <c r="B36" s="1" t="s">
        <v>49</v>
      </c>
      <c r="K36" s="6"/>
      <c r="L36" s="6">
        <f>6*(L31)-(L33)</f>
        <v>-660</v>
      </c>
      <c r="M36" s="6"/>
      <c r="O36" t="s">
        <v>26</v>
      </c>
      <c r="P36">
        <f>P34/P35</f>
        <v>-1.5298552472858866</v>
      </c>
    </row>
    <row r="37" spans="1:16" x14ac:dyDescent="0.25">
      <c r="A37">
        <v>130</v>
      </c>
      <c r="B37">
        <v>10</v>
      </c>
      <c r="C37">
        <f>A37-A45</f>
        <v>13.571428571428569</v>
      </c>
      <c r="D37">
        <f>B37-B45</f>
        <v>-22.571428571428569</v>
      </c>
      <c r="E37">
        <f t="shared" ref="E37:E43" si="8">C37^2</f>
        <v>184.18367346938771</v>
      </c>
      <c r="F37">
        <f t="shared" ref="F37:F43" si="9">C37*D37</f>
        <v>-306.32653061224482</v>
      </c>
      <c r="G37">
        <f>P42+(P36*A37)</f>
        <v>11.809107358262963</v>
      </c>
      <c r="H37">
        <f>(10-G37)^2</f>
        <v>3.2728694337211981</v>
      </c>
      <c r="K37" s="6"/>
      <c r="L37" s="6">
        <f>SQRT(2188560)</f>
        <v>1479.3782477784375</v>
      </c>
      <c r="M37" s="6"/>
    </row>
    <row r="38" spans="1:16" x14ac:dyDescent="0.25">
      <c r="A38">
        <v>125</v>
      </c>
      <c r="B38">
        <v>20</v>
      </c>
      <c r="C38">
        <f>A38-A45</f>
        <v>8.5714285714285694</v>
      </c>
      <c r="D38">
        <f>B38-B45</f>
        <v>-12.571428571428569</v>
      </c>
      <c r="E38">
        <f t="shared" si="8"/>
        <v>73.469387755102005</v>
      </c>
      <c r="F38">
        <f t="shared" si="9"/>
        <v>-107.75510204081628</v>
      </c>
      <c r="G38">
        <f>P42+(P36*A38)</f>
        <v>19.458383594692378</v>
      </c>
      <c r="H38">
        <f t="shared" ref="H38:H43" si="10">(B38-G38)^2</f>
        <v>0.2933483304983498</v>
      </c>
      <c r="K38" s="6" t="s">
        <v>47</v>
      </c>
      <c r="L38" s="6">
        <f>L35/L37</f>
        <v>2.2414821936036931</v>
      </c>
      <c r="M38" s="6"/>
    </row>
    <row r="39" spans="1:16" x14ac:dyDescent="0.25">
      <c r="A39">
        <v>120</v>
      </c>
      <c r="B39">
        <v>30</v>
      </c>
      <c r="C39">
        <f>A39-A45</f>
        <v>3.5714285714285694</v>
      </c>
      <c r="D39">
        <f>B39-B45</f>
        <v>-2.5714285714285694</v>
      </c>
      <c r="E39">
        <f t="shared" si="8"/>
        <v>12.755102040816311</v>
      </c>
      <c r="F39">
        <f t="shared" si="9"/>
        <v>-9.1836734693877418</v>
      </c>
      <c r="G39">
        <f>P42+(P36*A39)</f>
        <v>27.107659831121822</v>
      </c>
      <c r="H39">
        <f t="shared" si="10"/>
        <v>8.3656316525062469</v>
      </c>
      <c r="O39" t="s">
        <v>52</v>
      </c>
    </row>
    <row r="40" spans="1:16" x14ac:dyDescent="0.25">
      <c r="A40">
        <v>115</v>
      </c>
      <c r="B40">
        <v>35</v>
      </c>
      <c r="C40">
        <f>A40-A45</f>
        <v>-1.4285714285714306</v>
      </c>
      <c r="D40">
        <f>B40-B45</f>
        <v>2.4285714285714306</v>
      </c>
      <c r="E40">
        <f t="shared" si="8"/>
        <v>2.0408163265306181</v>
      </c>
      <c r="F40">
        <f t="shared" si="9"/>
        <v>-3.4693877551020487</v>
      </c>
      <c r="G40">
        <f>P42+(P36*A40)</f>
        <v>34.756936067551237</v>
      </c>
      <c r="H40">
        <f t="shared" si="10"/>
        <v>5.9080075257456774E-2</v>
      </c>
      <c r="O40" t="s">
        <v>53</v>
      </c>
      <c r="P40">
        <f>B45</f>
        <v>32.571428571428569</v>
      </c>
    </row>
    <row r="41" spans="1:16" x14ac:dyDescent="0.25">
      <c r="A41">
        <v>110</v>
      </c>
      <c r="B41">
        <v>40</v>
      </c>
      <c r="C41">
        <f>A41-A45</f>
        <v>-6.4285714285714306</v>
      </c>
      <c r="D41">
        <f>B41-B45</f>
        <v>7.4285714285714306</v>
      </c>
      <c r="E41">
        <f t="shared" si="8"/>
        <v>41.326530612244923</v>
      </c>
      <c r="F41">
        <f t="shared" si="9"/>
        <v>-47.755102040816354</v>
      </c>
      <c r="G41">
        <f>P42+(P36*A41)</f>
        <v>42.406212303980681</v>
      </c>
      <c r="H41">
        <f t="shared" si="10"/>
        <v>5.7898576518280152</v>
      </c>
      <c r="O41" t="s">
        <v>30</v>
      </c>
      <c r="P41">
        <f>A45</f>
        <v>116.42857142857143</v>
      </c>
    </row>
    <row r="42" spans="1:16" x14ac:dyDescent="0.25">
      <c r="A42">
        <v>108</v>
      </c>
      <c r="B42">
        <v>45</v>
      </c>
      <c r="C42">
        <f>A42-A45</f>
        <v>-8.4285714285714306</v>
      </c>
      <c r="D42">
        <f>B42-B45</f>
        <v>12.428571428571431</v>
      </c>
      <c r="E42">
        <f t="shared" si="8"/>
        <v>71.040816326530646</v>
      </c>
      <c r="F42">
        <f t="shared" si="9"/>
        <v>-104.75510204081637</v>
      </c>
      <c r="G42">
        <f>P42+(P36*A42)</f>
        <v>45.465922798552469</v>
      </c>
      <c r="H42">
        <f t="shared" si="10"/>
        <v>0.21708405421096502</v>
      </c>
      <c r="O42" t="s">
        <v>28</v>
      </c>
      <c r="P42">
        <f>P40-(P36*P41)</f>
        <v>210.69028950542821</v>
      </c>
    </row>
    <row r="43" spans="1:16" x14ac:dyDescent="0.25">
      <c r="A43">
        <v>107</v>
      </c>
      <c r="B43">
        <v>48</v>
      </c>
      <c r="C43">
        <f>A43-A45</f>
        <v>-9.4285714285714306</v>
      </c>
      <c r="D43">
        <f>B43-B45</f>
        <v>15.428571428571431</v>
      </c>
      <c r="E43">
        <f t="shared" si="8"/>
        <v>88.897959183673507</v>
      </c>
      <c r="F43">
        <f t="shared" si="9"/>
        <v>-145.4693877551021</v>
      </c>
      <c r="G43">
        <f>P42+(P36*A43)</f>
        <v>46.995778045838335</v>
      </c>
      <c r="H43">
        <f t="shared" si="10"/>
        <v>1.0084617332202723</v>
      </c>
      <c r="K43" t="s">
        <v>55</v>
      </c>
      <c r="L43">
        <f>P42+(P36*150)</f>
        <v>-18.787997587454782</v>
      </c>
    </row>
    <row r="44" spans="1:16" x14ac:dyDescent="0.25">
      <c r="A44" s="11">
        <f>SUM(A37:A43)</f>
        <v>815</v>
      </c>
      <c r="B44" s="11">
        <f>SUM(B37:B43)</f>
        <v>228</v>
      </c>
      <c r="C44" s="11"/>
      <c r="D44" s="11"/>
      <c r="E44" s="11">
        <f>SUM(E37:E43)</f>
        <v>473.71428571428572</v>
      </c>
      <c r="F44" s="11">
        <f>SUM(F37:F43)</f>
        <v>-724.71428571428578</v>
      </c>
      <c r="G44" s="11"/>
      <c r="H44" s="11"/>
    </row>
    <row r="45" spans="1:16" x14ac:dyDescent="0.25">
      <c r="A45" s="11">
        <f>A44/7</f>
        <v>116.42857142857143</v>
      </c>
      <c r="B45" s="11">
        <f>B44/7</f>
        <v>32.571428571428569</v>
      </c>
      <c r="C45" s="11"/>
      <c r="D45" s="11"/>
      <c r="E45" s="11"/>
      <c r="F45" s="11"/>
      <c r="G45" s="11"/>
      <c r="H45" s="11"/>
    </row>
    <row r="46" spans="1:16" x14ac:dyDescent="0.25">
      <c r="A46" t="s">
        <v>4</v>
      </c>
    </row>
    <row r="49" spans="1:15" x14ac:dyDescent="0.25">
      <c r="A49" s="13" t="s">
        <v>57</v>
      </c>
      <c r="B49" s="13" t="s">
        <v>56</v>
      </c>
      <c r="C49" s="13" t="s">
        <v>19</v>
      </c>
      <c r="D49" s="13" t="s">
        <v>58</v>
      </c>
      <c r="E49" s="13" t="s">
        <v>59</v>
      </c>
      <c r="F49" s="13" t="s">
        <v>60</v>
      </c>
      <c r="G49" s="13" t="s">
        <v>61</v>
      </c>
      <c r="H49" s="13" t="s">
        <v>62</v>
      </c>
      <c r="K49" s="13" t="s">
        <v>63</v>
      </c>
      <c r="N49" s="12" t="s">
        <v>64</v>
      </c>
      <c r="O49" s="12"/>
    </row>
    <row r="50" spans="1:15" x14ac:dyDescent="0.25">
      <c r="A50">
        <v>5</v>
      </c>
      <c r="B50">
        <v>8</v>
      </c>
      <c r="C50">
        <f>A50-A56</f>
        <v>2</v>
      </c>
      <c r="D50">
        <f>B50-B56</f>
        <v>-35.200000000000003</v>
      </c>
      <c r="E50">
        <f>C50^2</f>
        <v>4</v>
      </c>
      <c r="F50">
        <f>C50*D50</f>
        <v>-70.400000000000006</v>
      </c>
      <c r="G50">
        <f>O52+(L52*A50)</f>
        <v>2.4000000000000057</v>
      </c>
      <c r="H50">
        <f>(B50-G50)^2</f>
        <v>31.359999999999935</v>
      </c>
      <c r="K50" t="s">
        <v>38</v>
      </c>
      <c r="L50">
        <f>F55</f>
        <v>-204</v>
      </c>
      <c r="N50" t="s">
        <v>29</v>
      </c>
      <c r="O50">
        <f>B56</f>
        <v>43.2</v>
      </c>
    </row>
    <row r="51" spans="1:15" x14ac:dyDescent="0.25">
      <c r="A51">
        <v>4</v>
      </c>
      <c r="B51">
        <v>20</v>
      </c>
      <c r="C51">
        <f>A51-A56</f>
        <v>1</v>
      </c>
      <c r="D51">
        <f>B51-B56</f>
        <v>-23.200000000000003</v>
      </c>
      <c r="E51">
        <f>C51^2</f>
        <v>1</v>
      </c>
      <c r="F51">
        <f>C51*D51</f>
        <v>-23.200000000000003</v>
      </c>
      <c r="G51">
        <f>O52+(L52*A51)</f>
        <v>22.800000000000011</v>
      </c>
      <c r="H51">
        <f>(B51-G51)^2</f>
        <v>7.8400000000000638</v>
      </c>
      <c r="K51" t="s">
        <v>51</v>
      </c>
      <c r="L51">
        <f>E55</f>
        <v>10</v>
      </c>
      <c r="N51" t="s">
        <v>30</v>
      </c>
      <c r="O51">
        <f>A56</f>
        <v>3</v>
      </c>
    </row>
    <row r="52" spans="1:15" x14ac:dyDescent="0.25">
      <c r="A52">
        <v>3</v>
      </c>
      <c r="B52">
        <v>38</v>
      </c>
      <c r="C52">
        <f>A52-A56</f>
        <v>0</v>
      </c>
      <c r="D52">
        <f>B52-B56</f>
        <v>-5.2000000000000028</v>
      </c>
      <c r="E52">
        <f>C52^2</f>
        <v>0</v>
      </c>
      <c r="F52">
        <f>C52*D52</f>
        <v>0</v>
      </c>
      <c r="G52">
        <f>O52+(L52*A52)</f>
        <v>43.20000000000001</v>
      </c>
      <c r="H52">
        <f>(B52-G52)^2</f>
        <v>27.040000000000102</v>
      </c>
      <c r="K52" t="s">
        <v>26</v>
      </c>
      <c r="L52">
        <f>L50/L51</f>
        <v>-20.399999999999999</v>
      </c>
      <c r="N52" t="s">
        <v>28</v>
      </c>
      <c r="O52">
        <f>O50-(L52*O51)</f>
        <v>104.4</v>
      </c>
    </row>
    <row r="53" spans="1:15" x14ac:dyDescent="0.25">
      <c r="A53">
        <v>2</v>
      </c>
      <c r="B53">
        <v>60</v>
      </c>
      <c r="C53">
        <f>A53-A56</f>
        <v>-1</v>
      </c>
      <c r="D53">
        <f>B53-B56</f>
        <v>16.799999999999997</v>
      </c>
      <c r="E53">
        <f>C53^2</f>
        <v>1</v>
      </c>
      <c r="F53">
        <f>C53*D53</f>
        <v>-16.799999999999997</v>
      </c>
      <c r="G53">
        <f>O52+(L52*A53)</f>
        <v>63.600000000000009</v>
      </c>
      <c r="H53">
        <f>(B53-G53)^2</f>
        <v>12.960000000000061</v>
      </c>
    </row>
    <row r="54" spans="1:15" ht="16.5" customHeight="1" x14ac:dyDescent="0.25">
      <c r="A54">
        <v>1</v>
      </c>
      <c r="B54">
        <v>90</v>
      </c>
      <c r="C54">
        <f>A54-A56</f>
        <v>-2</v>
      </c>
      <c r="D54">
        <f>B54-B56</f>
        <v>46.8</v>
      </c>
      <c r="E54">
        <f>C54^2</f>
        <v>4</v>
      </c>
      <c r="F54">
        <f>C54*D54</f>
        <v>-93.6</v>
      </c>
      <c r="G54">
        <f>O52+(L52*A54)</f>
        <v>84</v>
      </c>
      <c r="H54">
        <f>(B54-G54)^2</f>
        <v>36</v>
      </c>
    </row>
    <row r="55" spans="1:15" x14ac:dyDescent="0.25">
      <c r="A55" s="12">
        <f>SUM(A50:A54)</f>
        <v>15</v>
      </c>
      <c r="B55" s="12">
        <f>SUM(B50:B54)</f>
        <v>216</v>
      </c>
      <c r="C55" s="12"/>
      <c r="D55" s="12"/>
      <c r="E55" s="12">
        <f>SUM(E50:E54)</f>
        <v>10</v>
      </c>
      <c r="F55" s="12">
        <f>SUM(F50:F54)</f>
        <v>-204</v>
      </c>
      <c r="G55" s="12"/>
      <c r="H55" s="12"/>
    </row>
    <row r="56" spans="1:15" x14ac:dyDescent="0.25">
      <c r="A56" s="12">
        <f>A55/5</f>
        <v>3</v>
      </c>
      <c r="B56" s="12">
        <f>B55/5</f>
        <v>43.2</v>
      </c>
      <c r="C56" s="12"/>
      <c r="D56" s="12"/>
      <c r="E56" s="12"/>
      <c r="F56" s="12"/>
      <c r="G56" s="12"/>
      <c r="H56" s="12"/>
      <c r="K56" t="s">
        <v>54</v>
      </c>
      <c r="L56">
        <f>O52+(L52*6)</f>
        <v>-17.999999999999986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919995425520</dc:creator>
  <cp:lastModifiedBy>919995425520</cp:lastModifiedBy>
  <dcterms:created xsi:type="dcterms:W3CDTF">2022-01-20T09:16:36Z</dcterms:created>
  <dcterms:modified xsi:type="dcterms:W3CDTF">2022-01-28T11:49:43Z</dcterms:modified>
</cp:coreProperties>
</file>