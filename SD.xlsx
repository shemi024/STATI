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21" i="1" l="1"/>
  <c r="N18" i="1"/>
  <c r="L19" i="1"/>
  <c r="Q19" i="1"/>
  <c r="Q26" i="1"/>
  <c r="H21" i="1"/>
  <c r="H27" i="1"/>
  <c r="H20" i="1"/>
  <c r="H22" i="1"/>
  <c r="H23" i="1"/>
  <c r="H24" i="1"/>
  <c r="H25" i="1"/>
  <c r="H26" i="1"/>
  <c r="H19" i="1"/>
  <c r="G23" i="1"/>
  <c r="G21" i="1"/>
  <c r="G20" i="1"/>
  <c r="G19" i="1"/>
  <c r="F26" i="1"/>
  <c r="F25" i="1"/>
  <c r="F24" i="1"/>
  <c r="F23" i="1"/>
  <c r="F22" i="1"/>
  <c r="E30" i="1"/>
  <c r="F21" i="1"/>
  <c r="F20" i="1"/>
  <c r="F19" i="1"/>
  <c r="E19" i="1"/>
  <c r="Q6" i="1"/>
  <c r="Q5" i="1"/>
  <c r="M5" i="1"/>
  <c r="M4" i="1"/>
  <c r="Q7" i="1"/>
  <c r="I12" i="1"/>
  <c r="I3" i="1"/>
  <c r="I4" i="1"/>
  <c r="I5" i="1"/>
  <c r="I6" i="1"/>
  <c r="I7" i="1"/>
  <c r="I8" i="1"/>
  <c r="I9" i="1"/>
  <c r="I10" i="1"/>
  <c r="I11" i="1"/>
  <c r="I2" i="1"/>
  <c r="G10" i="1"/>
  <c r="G47" i="1" l="1"/>
  <c r="E27" i="1" l="1"/>
  <c r="E26" i="1"/>
  <c r="E25" i="1"/>
  <c r="E24" i="1"/>
  <c r="E23" i="1"/>
  <c r="E22" i="1"/>
  <c r="E21" i="1"/>
  <c r="E20" i="1"/>
  <c r="D27" i="1"/>
  <c r="D26" i="1"/>
  <c r="D25" i="1"/>
  <c r="D24" i="1"/>
  <c r="D23" i="1"/>
  <c r="D22" i="1"/>
  <c r="D21" i="1"/>
  <c r="D20" i="1"/>
  <c r="D19" i="1"/>
  <c r="E2" i="1"/>
  <c r="Q9" i="1"/>
  <c r="Q10" i="1" s="1"/>
  <c r="Q8" i="1"/>
  <c r="G12" i="1"/>
  <c r="G11" i="1"/>
  <c r="G9" i="1"/>
  <c r="G8" i="1"/>
  <c r="G7" i="1"/>
  <c r="G6" i="1"/>
  <c r="G5" i="1"/>
  <c r="G4" i="1"/>
  <c r="G3" i="1"/>
  <c r="G2" i="1"/>
  <c r="F15" i="1"/>
  <c r="F12" i="1"/>
  <c r="F11" i="1"/>
  <c r="F10" i="1"/>
  <c r="F9" i="1"/>
  <c r="F8" i="1"/>
  <c r="F7" i="1"/>
  <c r="F6" i="1"/>
  <c r="F5" i="1"/>
  <c r="F4" i="1"/>
  <c r="F3" i="1"/>
  <c r="F2" i="1"/>
  <c r="E12" i="1"/>
  <c r="E11" i="1"/>
  <c r="E10" i="1"/>
  <c r="E9" i="1"/>
  <c r="E8" i="1"/>
  <c r="E7" i="1"/>
  <c r="E6" i="1"/>
  <c r="E5" i="1"/>
  <c r="E4" i="1"/>
  <c r="E3" i="1"/>
  <c r="J95" i="1" l="1"/>
  <c r="J108" i="1"/>
  <c r="J107" i="1"/>
  <c r="J106" i="1"/>
  <c r="J105" i="1"/>
  <c r="J103" i="1"/>
  <c r="J101" i="1"/>
  <c r="B108" i="1"/>
  <c r="E108" i="1"/>
  <c r="D108" i="1"/>
  <c r="J91" i="1"/>
  <c r="J93" i="1"/>
  <c r="J92" i="1"/>
  <c r="J94" i="1"/>
  <c r="F93" i="1"/>
  <c r="E93" i="1"/>
  <c r="D93" i="1"/>
  <c r="C93" i="1"/>
  <c r="K73" i="1"/>
  <c r="K72" i="1"/>
  <c r="K71" i="1"/>
  <c r="K70" i="1"/>
  <c r="D77" i="1"/>
  <c r="B77" i="1"/>
  <c r="F63" i="1"/>
  <c r="E63" i="1"/>
  <c r="K58" i="1"/>
  <c r="C63" i="1"/>
  <c r="B63" i="1"/>
  <c r="L43" i="1"/>
  <c r="L42" i="1"/>
  <c r="G43" i="1"/>
  <c r="F44" i="1"/>
  <c r="F43" i="1"/>
  <c r="F42" i="1"/>
  <c r="C50" i="1"/>
  <c r="B27" i="1"/>
  <c r="K59" i="1" l="1"/>
</calcChain>
</file>

<file path=xl/sharedStrings.xml><?xml version="1.0" encoding="utf-8"?>
<sst xmlns="http://schemas.openxmlformats.org/spreadsheetml/2006/main" count="136" uniqueCount="112">
  <si>
    <r>
      <t xml:space="preserve"> </t>
    </r>
    <r>
      <rPr>
        <b/>
        <sz val="11"/>
        <color theme="1"/>
        <rFont val="Calibri"/>
        <family val="2"/>
        <scheme val="minor"/>
      </rPr>
      <t xml:space="preserve"> Class interval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</si>
  <si>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    F</t>
    </r>
  </si>
  <si>
    <r>
      <t xml:space="preserve">           </t>
    </r>
    <r>
      <rPr>
        <b/>
        <sz val="11"/>
        <color theme="1"/>
        <rFont val="Calibri"/>
        <family val="2"/>
        <scheme val="minor"/>
      </rPr>
      <t xml:space="preserve">  CF</t>
    </r>
  </si>
  <si>
    <t>70-72</t>
  </si>
  <si>
    <t>67-69</t>
  </si>
  <si>
    <t>64-66</t>
  </si>
  <si>
    <t>61-63</t>
  </si>
  <si>
    <t>55-57</t>
  </si>
  <si>
    <t>52-54</t>
  </si>
  <si>
    <t>49-51</t>
  </si>
  <si>
    <t>46-48</t>
  </si>
  <si>
    <t>43-45</t>
  </si>
  <si>
    <t>Median</t>
  </si>
  <si>
    <t>Mode</t>
  </si>
  <si>
    <t>58-60</t>
  </si>
  <si>
    <t xml:space="preserve"> </t>
  </si>
  <si>
    <t xml:space="preserve"> Total</t>
  </si>
  <si>
    <t>class limits</t>
  </si>
  <si>
    <t xml:space="preserve">         F</t>
  </si>
  <si>
    <t xml:space="preserve">      cf</t>
  </si>
  <si>
    <t>13-19</t>
  </si>
  <si>
    <t>20-26</t>
  </si>
  <si>
    <t>27-33</t>
  </si>
  <si>
    <t>34-40</t>
  </si>
  <si>
    <t>41-47</t>
  </si>
  <si>
    <t>48-54</t>
  </si>
  <si>
    <t>55-61</t>
  </si>
  <si>
    <t>62-68</t>
  </si>
  <si>
    <t>Total</t>
  </si>
  <si>
    <t xml:space="preserve">    A</t>
  </si>
  <si>
    <t xml:space="preserve">         C</t>
  </si>
  <si>
    <t xml:space="preserve">Range </t>
  </si>
  <si>
    <t>n</t>
  </si>
  <si>
    <t>Q1</t>
  </si>
  <si>
    <t>Q2</t>
  </si>
  <si>
    <t>Q3</t>
  </si>
  <si>
    <t>interQurtail</t>
  </si>
  <si>
    <t xml:space="preserve">              </t>
  </si>
  <si>
    <t>QD</t>
  </si>
  <si>
    <t>Coefficient QD</t>
  </si>
  <si>
    <t>Mean Deviation</t>
  </si>
  <si>
    <t>Xi</t>
  </si>
  <si>
    <t xml:space="preserve">   F</t>
  </si>
  <si>
    <t xml:space="preserve">  X.F=TOTAL </t>
  </si>
  <si>
    <t xml:space="preserve">  |Xi-X|</t>
  </si>
  <si>
    <t xml:space="preserve">     f.|Xi-X|</t>
  </si>
  <si>
    <t>mean</t>
  </si>
  <si>
    <t>MAD</t>
  </si>
  <si>
    <t>variance</t>
  </si>
  <si>
    <r>
      <t xml:space="preserve">                                                              </t>
    </r>
    <r>
      <rPr>
        <b/>
        <sz val="22"/>
        <color theme="1"/>
        <rFont val="Calibri"/>
        <family val="2"/>
        <scheme val="minor"/>
      </rPr>
      <t xml:space="preserve"> variance</t>
    </r>
  </si>
  <si>
    <r>
      <t xml:space="preserve">                        </t>
    </r>
    <r>
      <rPr>
        <b/>
        <sz val="11"/>
        <color theme="1"/>
        <rFont val="Calibri"/>
        <family val="2"/>
        <scheme val="minor"/>
      </rPr>
      <t xml:space="preserve">   X</t>
    </r>
  </si>
  <si>
    <t xml:space="preserve">  X^2</t>
  </si>
  <si>
    <t>N</t>
  </si>
  <si>
    <t>sd</t>
  </si>
  <si>
    <t>x^2 total</t>
  </si>
  <si>
    <t>total of (x/n)^2</t>
  </si>
  <si>
    <t>x^2-(x/n)^2</t>
  </si>
  <si>
    <t>DISCRETE SERIES</t>
  </si>
  <si>
    <t xml:space="preserve">    X</t>
  </si>
  <si>
    <t xml:space="preserve">      F</t>
  </si>
  <si>
    <t xml:space="preserve">    X.F</t>
  </si>
  <si>
    <t xml:space="preserve">      F(X^2)</t>
  </si>
  <si>
    <t xml:space="preserve">       X^2</t>
  </si>
  <si>
    <t xml:space="preserve">    SD</t>
  </si>
  <si>
    <t>TOTAL</t>
  </si>
  <si>
    <t>TOTAL OF (fx/n)^2</t>
  </si>
  <si>
    <t>total of (fx^2)/n</t>
  </si>
  <si>
    <t>(fx^2)/n - (fx/n)^2</t>
  </si>
  <si>
    <t>CONTINUOUS SERIES</t>
  </si>
  <si>
    <t xml:space="preserve">      X    </t>
  </si>
  <si>
    <t xml:space="preserve">          F</t>
  </si>
  <si>
    <t xml:space="preserve">    Xi        </t>
  </si>
  <si>
    <t xml:space="preserve">      F.Xi </t>
  </si>
  <si>
    <t xml:space="preserve">      </t>
  </si>
  <si>
    <t xml:space="preserve">           F.(xi^2</t>
  </si>
  <si>
    <t>0-10</t>
  </si>
  <si>
    <t>10-20</t>
  </si>
  <si>
    <t>20-30</t>
  </si>
  <si>
    <t>30-40</t>
  </si>
  <si>
    <t>40-50</t>
  </si>
  <si>
    <t>50-60</t>
  </si>
  <si>
    <t>total of (fx/n)^2</t>
  </si>
  <si>
    <t>i</t>
  </si>
  <si>
    <t xml:space="preserve">total of (fx2/n)  </t>
  </si>
  <si>
    <t>(fx^2/n)-(fx/n)^2</t>
  </si>
  <si>
    <t>sqrt(245.674741)</t>
  </si>
  <si>
    <t>15.67401483*10</t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</si>
  <si>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 XM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</si>
  <si>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 FXM</t>
    </r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</si>
  <si>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X-Mean</t>
    </r>
  </si>
  <si>
    <t>TOTAL(X-MEAN)^2</t>
  </si>
  <si>
    <t>SD</t>
  </si>
  <si>
    <t>VARIANCE</t>
  </si>
  <si>
    <t xml:space="preserve">   XM</t>
  </si>
  <si>
    <t xml:space="preserve">     FXM</t>
  </si>
  <si>
    <t xml:space="preserve">  X-MEAN  </t>
  </si>
  <si>
    <t>Mean</t>
  </si>
  <si>
    <t>q1</t>
  </si>
  <si>
    <t>q2</t>
  </si>
  <si>
    <t>q3</t>
  </si>
  <si>
    <t>qd</t>
  </si>
  <si>
    <t>(x-mean)^2</t>
  </si>
  <si>
    <t>|X-mean|</t>
  </si>
  <si>
    <t xml:space="preserve">    |X-mean|*f</t>
  </si>
  <si>
    <t>md</t>
  </si>
  <si>
    <t>L</t>
  </si>
  <si>
    <t>F</t>
  </si>
  <si>
    <t>CF</t>
  </si>
  <si>
    <t>I</t>
  </si>
  <si>
    <t xml:space="preserve"> |X-MEAN</t>
  </si>
  <si>
    <t xml:space="preserve">  |X-MEAN|*F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</si>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</sst>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1" fillId="2" borderId="0" xfId="0" applyFont="1" applyFill="1"/>
    <xf numFmtId="0" fontId="0" fillId="10" borderId="0" xfId="0" applyFill="1"/>
    <xf numFmtId="0" fontId="0" fillId="11" borderId="0" xfId="0" applyFill="1"/>
    <xf numFmtId="0" fontId="1" fillId="11" borderId="0" xfId="0" applyFont="1" applyFill="1"/>
    <xf numFmtId="0" fontId="1" fillId="7" borderId="0" xfId="0" applyFont="1" applyFill="1"/>
    <xf numFmtId="0" fontId="0" fillId="12" borderId="0" xfId="0" applyFill="1"/>
    <xf numFmtId="0" fontId="1" fillId="12" borderId="0" xfId="0" applyFont="1" applyFill="1"/>
    <xf numFmtId="0" fontId="0" fillId="13" borderId="0" xfId="0" applyFill="1"/>
    <xf numFmtId="0" fontId="4" fillId="0" borderId="0" xfId="0" applyFont="1"/>
    <xf numFmtId="0" fontId="5" fillId="0" borderId="0" xfId="0" applyFont="1"/>
    <xf numFmtId="0" fontId="2" fillId="6" borderId="1" xfId="0" applyFont="1" applyFill="1" applyBorder="1"/>
    <xf numFmtId="0" fontId="6" fillId="6" borderId="0" xfId="0" applyFont="1" applyFill="1" applyBorder="1"/>
    <xf numFmtId="0" fontId="7" fillId="0" borderId="0" xfId="0" applyFont="1"/>
    <xf numFmtId="49" fontId="0" fillId="0" borderId="0" xfId="0" applyNumberFormat="1"/>
    <xf numFmtId="49" fontId="0" fillId="9" borderId="0" xfId="0" applyNumberFormat="1" applyFill="1"/>
    <xf numFmtId="0" fontId="0" fillId="6" borderId="0" xfId="0" applyFill="1"/>
    <xf numFmtId="0" fontId="1" fillId="6" borderId="0" xfId="0" applyFont="1" applyFill="1"/>
    <xf numFmtId="0" fontId="0" fillId="14" borderId="0" xfId="0" applyFill="1"/>
    <xf numFmtId="0" fontId="1" fillId="14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tabSelected="1" topLeftCell="A5" zoomScale="130" zoomScaleNormal="130" workbookViewId="0">
      <selection activeCell="I24" sqref="I24"/>
    </sheetView>
  </sheetViews>
  <sheetFormatPr defaultRowHeight="15" x14ac:dyDescent="0.25"/>
  <cols>
    <col min="2" max="2" width="10.140625" customWidth="1"/>
    <col min="3" max="3" width="11" customWidth="1"/>
    <col min="4" max="4" width="12.42578125" customWidth="1"/>
    <col min="5" max="5" width="13.5703125" customWidth="1"/>
    <col min="7" max="7" width="15.28515625" customWidth="1"/>
    <col min="8" max="8" width="15" customWidth="1"/>
    <col min="9" max="9" width="22.5703125" customWidth="1"/>
    <col min="10" max="10" width="17.28515625" customWidth="1"/>
  </cols>
  <sheetData>
    <row r="1" spans="1:18" x14ac:dyDescent="0.25">
      <c r="A1" s="2" t="s">
        <v>0</v>
      </c>
      <c r="B1" s="2"/>
      <c r="C1" s="2" t="s">
        <v>1</v>
      </c>
      <c r="D1" s="2" t="s">
        <v>2</v>
      </c>
      <c r="E1" s="2" t="s">
        <v>87</v>
      </c>
      <c r="F1" s="2" t="s">
        <v>88</v>
      </c>
      <c r="G1" s="2" t="s">
        <v>89</v>
      </c>
      <c r="H1" s="2" t="s">
        <v>102</v>
      </c>
      <c r="I1" s="2" t="s">
        <v>103</v>
      </c>
    </row>
    <row r="2" spans="1:18" x14ac:dyDescent="0.25">
      <c r="A2" s="25" t="s">
        <v>3</v>
      </c>
      <c r="B2" s="25"/>
      <c r="C2" s="25">
        <v>2</v>
      </c>
      <c r="D2" s="25">
        <v>2</v>
      </c>
      <c r="E2" s="25">
        <f>(70+72)/2</f>
        <v>71</v>
      </c>
      <c r="F2" s="25">
        <f t="shared" ref="F2:F11" si="0">C2*E2</f>
        <v>142</v>
      </c>
      <c r="G2" s="25">
        <f>E2-F15</f>
        <v>12.299999999999997</v>
      </c>
      <c r="H2">
        <v>12.3</v>
      </c>
      <c r="I2">
        <f>H2*C2</f>
        <v>24.6</v>
      </c>
    </row>
    <row r="3" spans="1:18" x14ac:dyDescent="0.25">
      <c r="A3" s="25" t="s">
        <v>4</v>
      </c>
      <c r="B3" s="25"/>
      <c r="C3" s="25">
        <v>2</v>
      </c>
      <c r="D3" s="25">
        <v>4</v>
      </c>
      <c r="E3" s="25">
        <f>(67+69)/2</f>
        <v>68</v>
      </c>
      <c r="F3" s="25">
        <f t="shared" si="0"/>
        <v>136</v>
      </c>
      <c r="G3" s="25">
        <f>E3-F15</f>
        <v>9.2999999999999972</v>
      </c>
      <c r="H3">
        <v>9.3000000000000007</v>
      </c>
      <c r="I3">
        <f t="shared" ref="I3:I11" si="1">H3*C3</f>
        <v>18.600000000000001</v>
      </c>
      <c r="K3" s="27"/>
      <c r="L3" s="27"/>
      <c r="M3" s="27"/>
      <c r="N3" s="27"/>
      <c r="O3" s="27"/>
      <c r="P3" s="27"/>
      <c r="Q3" s="27"/>
      <c r="R3" s="27"/>
    </row>
    <row r="4" spans="1:18" x14ac:dyDescent="0.25">
      <c r="A4" s="25" t="s">
        <v>5</v>
      </c>
      <c r="B4" s="25"/>
      <c r="C4" s="25">
        <v>4</v>
      </c>
      <c r="D4" s="25">
        <v>8</v>
      </c>
      <c r="E4" s="25">
        <f>(64+66)/2</f>
        <v>65</v>
      </c>
      <c r="F4" s="25">
        <f t="shared" si="0"/>
        <v>260</v>
      </c>
      <c r="G4" s="25">
        <f>E4-F15</f>
        <v>6.2999999999999972</v>
      </c>
      <c r="H4">
        <v>6.3</v>
      </c>
      <c r="I4">
        <f t="shared" si="1"/>
        <v>25.2</v>
      </c>
      <c r="K4" s="27"/>
      <c r="L4" s="27" t="s">
        <v>33</v>
      </c>
      <c r="M4" s="27">
        <f>40/4</f>
        <v>10</v>
      </c>
      <c r="N4" s="27"/>
      <c r="O4" s="27"/>
      <c r="P4" s="27"/>
      <c r="Q4" s="27"/>
      <c r="R4" s="27"/>
    </row>
    <row r="5" spans="1:18" x14ac:dyDescent="0.25">
      <c r="A5" s="25" t="s">
        <v>6</v>
      </c>
      <c r="B5" s="25"/>
      <c r="C5" s="25">
        <v>5</v>
      </c>
      <c r="D5" s="25">
        <v>13</v>
      </c>
      <c r="E5" s="25">
        <f>(61+63)/2</f>
        <v>62</v>
      </c>
      <c r="F5" s="25">
        <f t="shared" si="0"/>
        <v>310</v>
      </c>
      <c r="G5" s="25">
        <f>E5-F15</f>
        <v>3.2999999999999972</v>
      </c>
      <c r="H5">
        <v>3.3</v>
      </c>
      <c r="I5">
        <f t="shared" si="1"/>
        <v>16.5</v>
      </c>
      <c r="K5" s="27"/>
      <c r="L5" s="27" t="s">
        <v>35</v>
      </c>
      <c r="M5" s="27">
        <f>(3*40)/4</f>
        <v>30</v>
      </c>
      <c r="N5" s="27"/>
      <c r="O5" s="27"/>
      <c r="P5" s="27" t="s">
        <v>33</v>
      </c>
      <c r="Q5" s="27">
        <f>M7+(M11/M9)*(M8/4-M10)</f>
        <v>62.2</v>
      </c>
      <c r="R5" s="27"/>
    </row>
    <row r="6" spans="1:18" x14ac:dyDescent="0.25">
      <c r="A6" s="25" t="s">
        <v>14</v>
      </c>
      <c r="B6" s="25"/>
      <c r="C6" s="25">
        <v>11</v>
      </c>
      <c r="D6" s="25">
        <v>24</v>
      </c>
      <c r="E6" s="25">
        <f>(58+60)/2</f>
        <v>59</v>
      </c>
      <c r="F6" s="25">
        <f t="shared" si="0"/>
        <v>649</v>
      </c>
      <c r="G6" s="25">
        <f>E6-F15</f>
        <v>0.29999999999999716</v>
      </c>
      <c r="H6">
        <v>0.3</v>
      </c>
      <c r="I6">
        <f t="shared" si="1"/>
        <v>3.3</v>
      </c>
      <c r="K6" s="27"/>
      <c r="L6" s="27"/>
      <c r="M6" s="27"/>
      <c r="N6" s="27"/>
      <c r="O6" s="27"/>
      <c r="P6" s="27" t="s">
        <v>34</v>
      </c>
      <c r="Q6" s="27">
        <f>N7+(N11/N9)*(3*N8/4-N10)</f>
        <v>57.25</v>
      </c>
      <c r="R6" s="27"/>
    </row>
    <row r="7" spans="1:18" x14ac:dyDescent="0.25">
      <c r="A7" s="25" t="s">
        <v>7</v>
      </c>
      <c r="B7" s="25"/>
      <c r="C7" s="25">
        <v>8</v>
      </c>
      <c r="D7" s="25">
        <v>32</v>
      </c>
      <c r="E7" s="25">
        <f>(55+57)/2</f>
        <v>56</v>
      </c>
      <c r="F7" s="25">
        <f t="shared" si="0"/>
        <v>448</v>
      </c>
      <c r="G7" s="25">
        <f>E7-F15</f>
        <v>-2.7000000000000028</v>
      </c>
      <c r="H7">
        <v>2.7</v>
      </c>
      <c r="I7">
        <f t="shared" si="1"/>
        <v>21.6</v>
      </c>
      <c r="K7" s="27"/>
      <c r="L7" s="27" t="s">
        <v>105</v>
      </c>
      <c r="M7" s="27">
        <v>61</v>
      </c>
      <c r="N7" s="27">
        <v>55</v>
      </c>
      <c r="O7" s="27"/>
      <c r="P7" s="27" t="s">
        <v>104</v>
      </c>
      <c r="Q7" s="27">
        <f>I12/C12</f>
        <v>4.41</v>
      </c>
      <c r="R7" s="27"/>
    </row>
    <row r="8" spans="1:18" x14ac:dyDescent="0.25">
      <c r="A8" s="25" t="s">
        <v>8</v>
      </c>
      <c r="B8" s="25"/>
      <c r="C8" s="25">
        <v>4</v>
      </c>
      <c r="D8" s="25">
        <v>36</v>
      </c>
      <c r="E8" s="25">
        <f>(52+54)/2</f>
        <v>53</v>
      </c>
      <c r="F8" s="25">
        <f t="shared" si="0"/>
        <v>212</v>
      </c>
      <c r="G8" s="25">
        <f>E8-F15</f>
        <v>-5.7000000000000028</v>
      </c>
      <c r="H8">
        <v>5.7</v>
      </c>
      <c r="I8">
        <f t="shared" si="1"/>
        <v>22.8</v>
      </c>
      <c r="K8" s="27"/>
      <c r="L8" s="27" t="s">
        <v>52</v>
      </c>
      <c r="M8" s="27">
        <v>40</v>
      </c>
      <c r="N8" s="27">
        <v>40</v>
      </c>
      <c r="O8" s="27"/>
      <c r="P8" s="27" t="s">
        <v>90</v>
      </c>
      <c r="Q8" s="27">
        <f>(G12)^2</f>
        <v>144.00000000000068</v>
      </c>
      <c r="R8" s="27"/>
    </row>
    <row r="9" spans="1:18" x14ac:dyDescent="0.25">
      <c r="A9" s="25" t="s">
        <v>9</v>
      </c>
      <c r="B9" s="25"/>
      <c r="C9" s="25">
        <v>2</v>
      </c>
      <c r="D9" s="25">
        <v>38</v>
      </c>
      <c r="E9" s="25">
        <f>(49+51)/2</f>
        <v>50</v>
      </c>
      <c r="F9" s="25">
        <f t="shared" si="0"/>
        <v>100</v>
      </c>
      <c r="G9" s="25">
        <f>E9-F15</f>
        <v>-8.7000000000000028</v>
      </c>
      <c r="H9">
        <v>8.6999999999999993</v>
      </c>
      <c r="I9">
        <f t="shared" si="1"/>
        <v>17.399999999999999</v>
      </c>
      <c r="K9" s="27"/>
      <c r="L9" s="27" t="s">
        <v>106</v>
      </c>
      <c r="M9" s="27">
        <v>5</v>
      </c>
      <c r="N9" s="27">
        <v>8</v>
      </c>
      <c r="O9" s="27"/>
      <c r="P9" s="27" t="s">
        <v>91</v>
      </c>
      <c r="Q9" s="27">
        <f>SQRT(Q8/40)</f>
        <v>1.897366596101032</v>
      </c>
      <c r="R9" s="27"/>
    </row>
    <row r="10" spans="1:18" x14ac:dyDescent="0.25">
      <c r="A10" s="25" t="s">
        <v>10</v>
      </c>
      <c r="B10" s="25"/>
      <c r="C10" s="25">
        <v>1</v>
      </c>
      <c r="D10" s="25">
        <v>39</v>
      </c>
      <c r="E10" s="25">
        <f>(46+48)/2</f>
        <v>47</v>
      </c>
      <c r="F10" s="25">
        <f t="shared" si="0"/>
        <v>47</v>
      </c>
      <c r="G10" s="25">
        <f>E10-F15</f>
        <v>-11.700000000000003</v>
      </c>
      <c r="H10">
        <v>11.7</v>
      </c>
      <c r="I10">
        <f t="shared" si="1"/>
        <v>11.7</v>
      </c>
      <c r="K10" s="27"/>
      <c r="L10" s="27" t="s">
        <v>107</v>
      </c>
      <c r="M10" s="27">
        <v>8</v>
      </c>
      <c r="N10" s="27">
        <v>24</v>
      </c>
      <c r="O10" s="27"/>
      <c r="P10" s="27" t="s">
        <v>92</v>
      </c>
      <c r="Q10" s="27">
        <f>(Q9)^2</f>
        <v>3.6000000000000165</v>
      </c>
      <c r="R10" s="27"/>
    </row>
    <row r="11" spans="1:18" x14ac:dyDescent="0.25">
      <c r="A11" s="26" t="s">
        <v>11</v>
      </c>
      <c r="B11" s="25"/>
      <c r="C11" s="25">
        <v>1</v>
      </c>
      <c r="D11" s="25">
        <v>40</v>
      </c>
      <c r="E11" s="25">
        <f>(43+45)/2</f>
        <v>44</v>
      </c>
      <c r="F11" s="25">
        <f t="shared" si="0"/>
        <v>44</v>
      </c>
      <c r="G11" s="25">
        <f>E11-F15</f>
        <v>-14.700000000000003</v>
      </c>
      <c r="H11">
        <v>14.7</v>
      </c>
      <c r="I11">
        <f t="shared" si="1"/>
        <v>14.7</v>
      </c>
      <c r="K11" s="27"/>
      <c r="L11" s="27" t="s">
        <v>108</v>
      </c>
      <c r="M11" s="27">
        <v>3</v>
      </c>
      <c r="N11" s="27">
        <v>3</v>
      </c>
      <c r="O11" s="27"/>
      <c r="P11" s="27"/>
      <c r="Q11" s="27"/>
      <c r="R11" s="27"/>
    </row>
    <row r="12" spans="1:18" x14ac:dyDescent="0.25">
      <c r="A12" s="26" t="s">
        <v>16</v>
      </c>
      <c r="B12" s="25"/>
      <c r="C12" s="25">
        <v>40</v>
      </c>
      <c r="D12" s="25"/>
      <c r="E12" s="25">
        <f>SUM(E2:E11)</f>
        <v>575</v>
      </c>
      <c r="F12" s="25">
        <f>SUM(F2:F11)</f>
        <v>2348</v>
      </c>
      <c r="G12" s="25">
        <f>SUM(G2:G11)</f>
        <v>-12.000000000000028</v>
      </c>
      <c r="I12">
        <f>SUM(I2:I11)</f>
        <v>176.4</v>
      </c>
    </row>
    <row r="13" spans="1:18" x14ac:dyDescent="0.25">
      <c r="A13" s="26" t="s">
        <v>12</v>
      </c>
      <c r="B13" s="25"/>
      <c r="C13" s="25"/>
      <c r="D13" s="25">
        <v>114.4545</v>
      </c>
      <c r="E13" s="25"/>
      <c r="F13" s="25"/>
      <c r="G13" s="25"/>
    </row>
    <row r="14" spans="1:18" x14ac:dyDescent="0.25">
      <c r="A14" s="26" t="s">
        <v>13</v>
      </c>
      <c r="B14" s="25"/>
      <c r="C14" s="25"/>
      <c r="D14" s="25">
        <v>60</v>
      </c>
      <c r="E14" s="25"/>
      <c r="F14" s="25"/>
      <c r="G14" s="25"/>
    </row>
    <row r="15" spans="1:18" x14ac:dyDescent="0.25">
      <c r="A15" s="26" t="s">
        <v>46</v>
      </c>
      <c r="B15" s="25"/>
      <c r="C15" s="25"/>
      <c r="D15" s="25"/>
      <c r="E15" s="25"/>
      <c r="F15" s="25">
        <f>F12/C12</f>
        <v>58.7</v>
      </c>
      <c r="G15" s="25"/>
    </row>
    <row r="17" spans="1:17" x14ac:dyDescent="0.25">
      <c r="K17" s="27"/>
      <c r="L17" s="27"/>
      <c r="M17" s="27"/>
      <c r="N17" s="27"/>
      <c r="O17" s="27"/>
      <c r="P17" s="27"/>
      <c r="Q17" s="27"/>
    </row>
    <row r="18" spans="1:17" x14ac:dyDescent="0.25">
      <c r="A18" s="6" t="s">
        <v>17</v>
      </c>
      <c r="B18" s="6" t="s">
        <v>18</v>
      </c>
      <c r="C18" s="6" t="s">
        <v>19</v>
      </c>
      <c r="D18" s="6" t="s">
        <v>93</v>
      </c>
      <c r="E18" s="6" t="s">
        <v>94</v>
      </c>
      <c r="F18" s="6" t="s">
        <v>95</v>
      </c>
      <c r="G18" s="6" t="s">
        <v>109</v>
      </c>
      <c r="H18" s="6" t="s">
        <v>110</v>
      </c>
      <c r="K18" s="27"/>
      <c r="L18" s="27"/>
      <c r="M18" s="27" t="s">
        <v>98</v>
      </c>
      <c r="N18" s="27">
        <f>3*L20/4</f>
        <v>26.25</v>
      </c>
      <c r="O18" s="27"/>
      <c r="P18" s="27"/>
      <c r="Q18" s="27"/>
    </row>
    <row r="19" spans="1:17" x14ac:dyDescent="0.25">
      <c r="A19" s="2" t="s">
        <v>20</v>
      </c>
      <c r="B19" s="2">
        <v>2</v>
      </c>
      <c r="C19" s="2">
        <v>2</v>
      </c>
      <c r="D19" s="2">
        <f>(13+19)/2</f>
        <v>16</v>
      </c>
      <c r="E19" s="2">
        <f>B19*D19</f>
        <v>32</v>
      </c>
      <c r="F19" s="2">
        <f>D19-E30</f>
        <v>-17.799999999999997</v>
      </c>
      <c r="G19">
        <f>17.8</f>
        <v>17.8</v>
      </c>
      <c r="H19">
        <f>G19*B19</f>
        <v>35.6</v>
      </c>
      <c r="K19" s="27" t="s">
        <v>33</v>
      </c>
      <c r="L19" s="27">
        <f>35/4</f>
        <v>8.75</v>
      </c>
      <c r="M19" s="27"/>
      <c r="N19" s="27"/>
      <c r="O19" s="27"/>
      <c r="P19" s="27" t="s">
        <v>97</v>
      </c>
      <c r="Q19" s="27">
        <f>L21+(L23/L22)*(L20/4-L24)</f>
        <v>26.75</v>
      </c>
    </row>
    <row r="20" spans="1:17" x14ac:dyDescent="0.25">
      <c r="A20" s="2" t="s">
        <v>21</v>
      </c>
      <c r="B20" s="2">
        <v>7</v>
      </c>
      <c r="C20" s="2">
        <v>9</v>
      </c>
      <c r="D20" s="2">
        <f>(20+26)/2</f>
        <v>23</v>
      </c>
      <c r="E20" s="2">
        <f t="shared" ref="E19:E25" si="2">B20*D20</f>
        <v>161</v>
      </c>
      <c r="F20" s="2">
        <f>D20-E30</f>
        <v>-10.799999999999997</v>
      </c>
      <c r="G20">
        <f>10.8</f>
        <v>10.8</v>
      </c>
      <c r="H20">
        <f t="shared" ref="H20:H26" si="3">G20*B20</f>
        <v>75.600000000000009</v>
      </c>
      <c r="K20" s="27" t="s">
        <v>52</v>
      </c>
      <c r="L20" s="27">
        <v>35</v>
      </c>
      <c r="M20" s="27"/>
      <c r="N20" s="27"/>
      <c r="O20" s="27"/>
      <c r="P20" s="27"/>
      <c r="Q20" s="27"/>
    </row>
    <row r="21" spans="1:17" x14ac:dyDescent="0.25">
      <c r="A21" s="2" t="s">
        <v>22</v>
      </c>
      <c r="B21" s="2">
        <v>12</v>
      </c>
      <c r="C21" s="2">
        <v>21</v>
      </c>
      <c r="D21" s="2">
        <f>(27+33)/2</f>
        <v>30</v>
      </c>
      <c r="E21" s="2">
        <f t="shared" si="2"/>
        <v>360</v>
      </c>
      <c r="F21" s="2">
        <f>D21-E30</f>
        <v>-3.7999999999999972</v>
      </c>
      <c r="G21">
        <f>3.8</f>
        <v>3.8</v>
      </c>
      <c r="H21">
        <f>G21*B21</f>
        <v>45.599999999999994</v>
      </c>
      <c r="K21" s="27" t="s">
        <v>105</v>
      </c>
      <c r="L21" s="27">
        <v>20</v>
      </c>
      <c r="M21" s="27">
        <v>41</v>
      </c>
      <c r="N21" s="27"/>
      <c r="O21" s="27"/>
      <c r="P21" s="27" t="s">
        <v>99</v>
      </c>
      <c r="Q21" s="27">
        <f>M21+(L23/M22)*(3*L20/4-M24)</f>
        <v>41.291666666666664</v>
      </c>
    </row>
    <row r="22" spans="1:17" x14ac:dyDescent="0.25">
      <c r="A22" s="2" t="s">
        <v>23</v>
      </c>
      <c r="B22" s="2">
        <v>5</v>
      </c>
      <c r="C22" s="2">
        <v>26</v>
      </c>
      <c r="D22" s="2">
        <f>(34+40)/2</f>
        <v>37</v>
      </c>
      <c r="E22" s="2">
        <f t="shared" si="2"/>
        <v>185</v>
      </c>
      <c r="F22" s="2">
        <f>D22-E30</f>
        <v>3.2000000000000028</v>
      </c>
      <c r="G22">
        <v>3.2</v>
      </c>
      <c r="H22">
        <f t="shared" si="3"/>
        <v>16</v>
      </c>
      <c r="K22" s="27" t="s">
        <v>106</v>
      </c>
      <c r="L22" s="27">
        <v>7</v>
      </c>
      <c r="M22" s="27">
        <v>6</v>
      </c>
      <c r="N22" s="27"/>
      <c r="O22" s="27"/>
      <c r="P22" s="27" t="s">
        <v>100</v>
      </c>
      <c r="Q22" s="27">
        <v>9</v>
      </c>
    </row>
    <row r="23" spans="1:17" x14ac:dyDescent="0.25">
      <c r="A23" s="2" t="s">
        <v>24</v>
      </c>
      <c r="B23" s="2">
        <v>6</v>
      </c>
      <c r="C23" s="2">
        <v>32</v>
      </c>
      <c r="D23" s="2">
        <f>(41+47)/2</f>
        <v>44</v>
      </c>
      <c r="E23" s="2">
        <f t="shared" si="2"/>
        <v>264</v>
      </c>
      <c r="F23" s="2">
        <f>D23-E30</f>
        <v>10.200000000000003</v>
      </c>
      <c r="G23">
        <f>10.2</f>
        <v>10.199999999999999</v>
      </c>
      <c r="H23">
        <f t="shared" si="3"/>
        <v>61.199999999999996</v>
      </c>
      <c r="K23" s="27" t="s">
        <v>108</v>
      </c>
      <c r="L23" s="27">
        <v>7</v>
      </c>
      <c r="M23" s="27">
        <v>7</v>
      </c>
      <c r="N23" s="27"/>
      <c r="O23" s="27"/>
      <c r="P23" s="27" t="s">
        <v>101</v>
      </c>
      <c r="Q23" s="27">
        <v>2872.96</v>
      </c>
    </row>
    <row r="24" spans="1:17" x14ac:dyDescent="0.25">
      <c r="A24" s="2" t="s">
        <v>25</v>
      </c>
      <c r="B24" s="2">
        <v>1</v>
      </c>
      <c r="C24" s="2">
        <v>33</v>
      </c>
      <c r="D24" s="2">
        <f>(48+54)/2</f>
        <v>51</v>
      </c>
      <c r="E24" s="2">
        <f t="shared" si="2"/>
        <v>51</v>
      </c>
      <c r="F24" s="2">
        <f>D24-E30</f>
        <v>17.200000000000003</v>
      </c>
      <c r="G24">
        <v>17.2</v>
      </c>
      <c r="H24">
        <f t="shared" si="3"/>
        <v>17.2</v>
      </c>
      <c r="K24" s="27" t="s">
        <v>107</v>
      </c>
      <c r="L24" s="27">
        <v>2</v>
      </c>
      <c r="M24" s="27">
        <v>26</v>
      </c>
      <c r="N24" s="27"/>
      <c r="O24" s="27"/>
      <c r="P24" s="27" t="s">
        <v>53</v>
      </c>
      <c r="Q24" s="27">
        <v>9.0600536110000007</v>
      </c>
    </row>
    <row r="25" spans="1:17" x14ac:dyDescent="0.25">
      <c r="A25" s="2" t="s">
        <v>26</v>
      </c>
      <c r="B25" s="2">
        <v>0</v>
      </c>
      <c r="C25" s="2">
        <v>33</v>
      </c>
      <c r="D25" s="2">
        <f>(55+61)/2</f>
        <v>58</v>
      </c>
      <c r="E25" s="2">
        <f t="shared" si="2"/>
        <v>0</v>
      </c>
      <c r="F25" s="2">
        <f>D25-E30</f>
        <v>24.200000000000003</v>
      </c>
      <c r="G25">
        <v>24.2</v>
      </c>
      <c r="H25">
        <f t="shared" si="3"/>
        <v>0</v>
      </c>
      <c r="K25" s="27"/>
      <c r="L25" s="27"/>
      <c r="M25" s="27"/>
      <c r="N25" s="27"/>
      <c r="O25" s="27"/>
      <c r="P25" s="27" t="s">
        <v>48</v>
      </c>
      <c r="Q25" s="27">
        <v>82.084571429999997</v>
      </c>
    </row>
    <row r="26" spans="1:17" x14ac:dyDescent="0.25">
      <c r="A26" s="2" t="s">
        <v>27</v>
      </c>
      <c r="B26" s="2">
        <v>2</v>
      </c>
      <c r="C26" s="2">
        <v>35</v>
      </c>
      <c r="D26" s="2">
        <f>(62+68)/2</f>
        <v>65</v>
      </c>
      <c r="E26" s="2">
        <f>2*D26</f>
        <v>130</v>
      </c>
      <c r="F26" s="2">
        <f>D26-E30</f>
        <v>31.200000000000003</v>
      </c>
      <c r="G26">
        <v>31.2</v>
      </c>
      <c r="H26">
        <f t="shared" si="3"/>
        <v>62.4</v>
      </c>
      <c r="K26" s="27"/>
      <c r="L26" s="27"/>
      <c r="M26" s="27"/>
      <c r="N26" s="27"/>
      <c r="O26" s="27"/>
      <c r="P26" s="27" t="s">
        <v>111</v>
      </c>
      <c r="Q26" s="27">
        <f>H27/B27</f>
        <v>8.9599999999999991</v>
      </c>
    </row>
    <row r="27" spans="1:17" x14ac:dyDescent="0.25">
      <c r="A27" s="24" t="s">
        <v>28</v>
      </c>
      <c r="B27" s="23">
        <f>SUM(B19:B26)</f>
        <v>35</v>
      </c>
      <c r="C27" s="23"/>
      <c r="D27" s="23">
        <f>SUM(D19:D26)</f>
        <v>324</v>
      </c>
      <c r="E27" s="23">
        <f>SUM(E19:E26)</f>
        <v>1183</v>
      </c>
      <c r="F27" s="23"/>
      <c r="H27">
        <f>SUM(H19:H26)</f>
        <v>313.59999999999997</v>
      </c>
    </row>
    <row r="28" spans="1:17" x14ac:dyDescent="0.25">
      <c r="A28" s="24" t="s">
        <v>12</v>
      </c>
      <c r="B28" s="23"/>
      <c r="C28" s="23">
        <v>144.25</v>
      </c>
      <c r="D28" s="23"/>
      <c r="E28" s="23"/>
      <c r="F28" s="23"/>
    </row>
    <row r="29" spans="1:17" x14ac:dyDescent="0.25">
      <c r="A29" s="24" t="s">
        <v>13</v>
      </c>
      <c r="B29" s="23"/>
      <c r="C29" s="23">
        <v>24.95833</v>
      </c>
      <c r="D29" s="23"/>
      <c r="E29" s="23"/>
      <c r="F29" s="23"/>
    </row>
    <row r="30" spans="1:17" x14ac:dyDescent="0.25">
      <c r="A30" s="24" t="s">
        <v>96</v>
      </c>
      <c r="B30" s="23"/>
      <c r="C30" s="23"/>
      <c r="D30" s="23"/>
      <c r="E30" s="23">
        <f>1183/35</f>
        <v>33.799999999999997</v>
      </c>
      <c r="F30" s="23"/>
    </row>
    <row r="37" spans="1:12" x14ac:dyDescent="0.25">
      <c r="A37" s="9" t="s">
        <v>29</v>
      </c>
      <c r="B37" s="9" t="s">
        <v>30</v>
      </c>
      <c r="C37" s="9"/>
    </row>
    <row r="38" spans="1:12" x14ac:dyDescent="0.25">
      <c r="A38" s="9">
        <v>20</v>
      </c>
      <c r="B38" s="9">
        <v>16</v>
      </c>
      <c r="C38" s="9"/>
    </row>
    <row r="39" spans="1:12" x14ac:dyDescent="0.25">
      <c r="A39" s="9">
        <v>32</v>
      </c>
      <c r="B39" s="9">
        <v>20</v>
      </c>
      <c r="C39" s="9"/>
    </row>
    <row r="40" spans="1:12" x14ac:dyDescent="0.25">
      <c r="A40" s="9">
        <v>49</v>
      </c>
      <c r="B40" s="9">
        <v>25</v>
      </c>
      <c r="C40" s="9"/>
    </row>
    <row r="41" spans="1:12" x14ac:dyDescent="0.25">
      <c r="A41" s="9">
        <v>63</v>
      </c>
      <c r="B41" s="9">
        <v>32</v>
      </c>
      <c r="C41" s="9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9">
        <v>72</v>
      </c>
      <c r="B42" s="9">
        <v>38</v>
      </c>
      <c r="C42" s="9"/>
      <c r="D42" s="7"/>
      <c r="E42" s="7" t="s">
        <v>33</v>
      </c>
      <c r="F42" s="7">
        <f>13*(1/4)</f>
        <v>3.25</v>
      </c>
      <c r="G42" s="7">
        <v>25</v>
      </c>
      <c r="H42" s="7"/>
      <c r="I42" s="7"/>
      <c r="J42" s="7" t="s">
        <v>36</v>
      </c>
      <c r="K42" s="7" t="s">
        <v>37</v>
      </c>
      <c r="L42" s="7">
        <f>64-25</f>
        <v>39</v>
      </c>
    </row>
    <row r="43" spans="1:12" x14ac:dyDescent="0.25">
      <c r="A43" s="9">
        <v>80</v>
      </c>
      <c r="B43" s="9">
        <v>45</v>
      </c>
      <c r="C43" s="9"/>
      <c r="D43" s="7"/>
      <c r="E43" s="7" t="s">
        <v>34</v>
      </c>
      <c r="F43" s="7">
        <f>13*(1/2)</f>
        <v>6.5</v>
      </c>
      <c r="G43" s="7">
        <f>(B43+B44)/2</f>
        <v>47</v>
      </c>
      <c r="H43" s="7"/>
      <c r="I43" s="7"/>
      <c r="J43" s="7" t="s">
        <v>38</v>
      </c>
      <c r="K43" s="7"/>
      <c r="L43" s="7">
        <f>39/2</f>
        <v>19.5</v>
      </c>
    </row>
    <row r="44" spans="1:12" x14ac:dyDescent="0.25">
      <c r="A44" s="9">
        <v>45</v>
      </c>
      <c r="B44" s="9">
        <v>49</v>
      </c>
      <c r="C44" s="9"/>
      <c r="D44" s="7"/>
      <c r="E44" s="7" t="s">
        <v>35</v>
      </c>
      <c r="F44" s="7">
        <f>13*(3/4)</f>
        <v>9.75</v>
      </c>
      <c r="G44" s="7">
        <v>64</v>
      </c>
      <c r="H44" s="7"/>
      <c r="I44" s="7"/>
      <c r="J44" s="7"/>
      <c r="K44" s="7"/>
      <c r="L44" s="7" t="s">
        <v>15</v>
      </c>
    </row>
    <row r="45" spans="1:12" x14ac:dyDescent="0.25">
      <c r="A45" s="9">
        <v>38</v>
      </c>
      <c r="B45" s="9">
        <v>54</v>
      </c>
      <c r="C45" s="9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5">
      <c r="A46" s="9">
        <v>25</v>
      </c>
      <c r="B46" s="9">
        <v>61</v>
      </c>
      <c r="C46" s="9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9">
        <v>54</v>
      </c>
      <c r="B47" s="9">
        <v>64</v>
      </c>
      <c r="C47" s="9"/>
      <c r="D47" s="7"/>
      <c r="E47" s="7" t="s">
        <v>39</v>
      </c>
      <c r="F47" s="7"/>
      <c r="G47" s="7">
        <f>(64-25/64+Q7)*100</f>
        <v>6801.9375</v>
      </c>
      <c r="H47" s="7"/>
      <c r="I47" s="7"/>
      <c r="J47" s="7"/>
      <c r="K47" s="7"/>
      <c r="L47" s="7"/>
    </row>
    <row r="48" spans="1:12" x14ac:dyDescent="0.25">
      <c r="A48" s="9">
        <v>64</v>
      </c>
      <c r="B48" s="9">
        <v>72</v>
      </c>
      <c r="C48" s="9"/>
    </row>
    <row r="49" spans="1:12" x14ac:dyDescent="0.25">
      <c r="A49" s="9">
        <v>16</v>
      </c>
      <c r="B49" s="9">
        <v>80</v>
      </c>
      <c r="C49" s="9"/>
    </row>
    <row r="50" spans="1:12" x14ac:dyDescent="0.25">
      <c r="A50" s="9"/>
      <c r="B50" s="9" t="s">
        <v>31</v>
      </c>
      <c r="C50" s="9">
        <f>B49-B38+1</f>
        <v>65</v>
      </c>
    </row>
    <row r="51" spans="1:12" x14ac:dyDescent="0.25">
      <c r="A51" s="9"/>
      <c r="B51" s="9" t="s">
        <v>32</v>
      </c>
      <c r="C51" s="9">
        <v>12</v>
      </c>
    </row>
    <row r="52" spans="1:12" x14ac:dyDescent="0.25">
      <c r="A52" s="9"/>
      <c r="B52" s="9"/>
      <c r="C52" s="9"/>
    </row>
    <row r="56" spans="1:12" x14ac:dyDescent="0.25">
      <c r="B56" t="s">
        <v>40</v>
      </c>
    </row>
    <row r="57" spans="1:12" x14ac:dyDescent="0.25">
      <c r="A57" s="8" t="s">
        <v>41</v>
      </c>
      <c r="B57" s="8" t="s">
        <v>42</v>
      </c>
      <c r="C57" s="8" t="s">
        <v>43</v>
      </c>
      <c r="D57" s="8"/>
      <c r="E57" s="8" t="s">
        <v>44</v>
      </c>
      <c r="F57" s="8" t="s">
        <v>45</v>
      </c>
      <c r="G57" s="8"/>
      <c r="I57" t="s">
        <v>15</v>
      </c>
    </row>
    <row r="58" spans="1:12" x14ac:dyDescent="0.25">
      <c r="A58" s="10">
        <v>24</v>
      </c>
      <c r="B58" s="10">
        <v>14</v>
      </c>
      <c r="C58" s="10">
        <v>336</v>
      </c>
      <c r="D58" s="10"/>
      <c r="E58" s="10">
        <v>32</v>
      </c>
      <c r="F58" s="10">
        <v>448</v>
      </c>
      <c r="G58" s="10"/>
      <c r="I58" s="5"/>
      <c r="J58" s="5" t="s">
        <v>46</v>
      </c>
      <c r="K58" s="5">
        <f>(24+36+56+80+84)/5</f>
        <v>56</v>
      </c>
      <c r="L58" s="5"/>
    </row>
    <row r="59" spans="1:12" x14ac:dyDescent="0.25">
      <c r="A59" s="10">
        <v>36</v>
      </c>
      <c r="B59" s="10">
        <v>28</v>
      </c>
      <c r="C59" s="10">
        <v>1008</v>
      </c>
      <c r="D59" s="10"/>
      <c r="E59" s="10">
        <v>20</v>
      </c>
      <c r="F59" s="10">
        <v>560</v>
      </c>
      <c r="G59" s="10"/>
      <c r="I59" s="5"/>
      <c r="J59" s="5" t="s">
        <v>47</v>
      </c>
      <c r="K59" s="5">
        <f>F63/B63</f>
        <v>17.863013698630137</v>
      </c>
      <c r="L59" s="5"/>
    </row>
    <row r="60" spans="1:12" x14ac:dyDescent="0.25">
      <c r="A60" s="10">
        <v>56</v>
      </c>
      <c r="B60" s="10">
        <v>42</v>
      </c>
      <c r="C60" s="10">
        <v>2352</v>
      </c>
      <c r="D60" s="10"/>
      <c r="E60" s="10">
        <v>0</v>
      </c>
      <c r="F60" s="10">
        <v>0</v>
      </c>
      <c r="G60" s="10"/>
      <c r="I60" s="5"/>
      <c r="J60" s="5"/>
      <c r="K60" s="5"/>
      <c r="L60" s="5"/>
    </row>
    <row r="61" spans="1:12" x14ac:dyDescent="0.25">
      <c r="A61" s="10">
        <v>80</v>
      </c>
      <c r="B61" s="10">
        <v>34</v>
      </c>
      <c r="C61" s="10">
        <v>2720</v>
      </c>
      <c r="D61" s="10"/>
      <c r="E61" s="10">
        <v>24</v>
      </c>
      <c r="F61" s="10">
        <v>816</v>
      </c>
      <c r="G61" s="10"/>
      <c r="I61" s="5"/>
      <c r="J61" s="5"/>
      <c r="K61" s="5"/>
      <c r="L61" s="5"/>
    </row>
    <row r="62" spans="1:12" x14ac:dyDescent="0.25">
      <c r="A62" s="10">
        <v>84</v>
      </c>
      <c r="B62" s="10">
        <v>28</v>
      </c>
      <c r="C62" s="10">
        <v>2352</v>
      </c>
      <c r="D62" s="10"/>
      <c r="E62" s="10">
        <v>28</v>
      </c>
      <c r="F62" s="10">
        <v>784</v>
      </c>
      <c r="G62" s="10"/>
    </row>
    <row r="63" spans="1:12" x14ac:dyDescent="0.25">
      <c r="A63" s="11" t="s">
        <v>28</v>
      </c>
      <c r="B63" s="10">
        <f>SUM(B58:B62)</f>
        <v>146</v>
      </c>
      <c r="C63" s="10">
        <f>SUM(C58:C62)</f>
        <v>8768</v>
      </c>
      <c r="D63" s="10"/>
      <c r="E63" s="10">
        <f>SUM(E58:E62)</f>
        <v>104</v>
      </c>
      <c r="F63" s="10">
        <f>SUM(F58:F62)</f>
        <v>2608</v>
      </c>
      <c r="G63" s="10"/>
    </row>
    <row r="67" spans="1:12" ht="28.5" x14ac:dyDescent="0.45">
      <c r="A67" t="s">
        <v>49</v>
      </c>
    </row>
    <row r="68" spans="1:12" x14ac:dyDescent="0.25">
      <c r="A68" t="s">
        <v>50</v>
      </c>
      <c r="B68" s="13"/>
      <c r="C68" s="13"/>
      <c r="D68" s="14" t="s">
        <v>51</v>
      </c>
      <c r="E68" s="13" t="s">
        <v>15</v>
      </c>
    </row>
    <row r="69" spans="1:12" x14ac:dyDescent="0.25">
      <c r="B69" s="15">
        <v>4</v>
      </c>
      <c r="C69" s="15"/>
      <c r="D69" s="15">
        <v>16</v>
      </c>
      <c r="E69" s="15"/>
      <c r="J69" s="8"/>
      <c r="K69" s="8"/>
      <c r="L69" s="8"/>
    </row>
    <row r="70" spans="1:12" x14ac:dyDescent="0.25">
      <c r="B70" s="15">
        <v>7</v>
      </c>
      <c r="C70" s="15"/>
      <c r="D70" s="15">
        <v>49</v>
      </c>
      <c r="E70" s="15"/>
      <c r="J70" s="8" t="s">
        <v>54</v>
      </c>
      <c r="K70" s="8">
        <f>1008/8</f>
        <v>126</v>
      </c>
      <c r="L70" s="8"/>
    </row>
    <row r="71" spans="1:12" x14ac:dyDescent="0.25">
      <c r="B71" s="15">
        <v>7</v>
      </c>
      <c r="C71" s="15"/>
      <c r="D71" s="15">
        <v>49</v>
      </c>
      <c r="E71" s="15"/>
      <c r="J71" s="8" t="s">
        <v>55</v>
      </c>
      <c r="K71" s="8">
        <f>(82/8)^2</f>
        <v>105.0625</v>
      </c>
      <c r="L71" s="8"/>
    </row>
    <row r="72" spans="1:12" x14ac:dyDescent="0.25">
      <c r="B72" s="15">
        <v>8</v>
      </c>
      <c r="C72" s="15"/>
      <c r="D72" s="15">
        <v>64</v>
      </c>
      <c r="E72" s="15"/>
      <c r="J72" s="8" t="s">
        <v>56</v>
      </c>
      <c r="K72" s="8">
        <f>126-105.063</f>
        <v>20.936999999999998</v>
      </c>
      <c r="L72" s="8"/>
    </row>
    <row r="73" spans="1:12" x14ac:dyDescent="0.25">
      <c r="B73" s="15">
        <v>10</v>
      </c>
      <c r="C73" s="15"/>
      <c r="D73" s="15">
        <v>100</v>
      </c>
      <c r="E73" s="15"/>
      <c r="J73" s="8" t="s">
        <v>53</v>
      </c>
      <c r="K73" s="8">
        <f>SQRT(20.937)</f>
        <v>4.5756966682681233</v>
      </c>
      <c r="L73" s="8"/>
    </row>
    <row r="74" spans="1:12" x14ac:dyDescent="0.25">
      <c r="B74" s="15">
        <v>12</v>
      </c>
      <c r="C74" s="15"/>
      <c r="D74" s="15">
        <v>144</v>
      </c>
      <c r="E74" s="15"/>
      <c r="J74" s="8"/>
      <c r="K74" s="8"/>
      <c r="L74" s="8"/>
    </row>
    <row r="75" spans="1:12" x14ac:dyDescent="0.25">
      <c r="B75" s="15">
        <v>15</v>
      </c>
      <c r="C75" s="15"/>
      <c r="D75" s="15">
        <v>225</v>
      </c>
      <c r="E75" s="15"/>
      <c r="I75" t="s">
        <v>15</v>
      </c>
    </row>
    <row r="76" spans="1:12" x14ac:dyDescent="0.25">
      <c r="B76" s="15">
        <v>19</v>
      </c>
      <c r="C76" s="15"/>
      <c r="D76" s="15">
        <v>361</v>
      </c>
      <c r="E76" s="15"/>
    </row>
    <row r="77" spans="1:12" x14ac:dyDescent="0.25">
      <c r="A77" s="1" t="s">
        <v>28</v>
      </c>
      <c r="B77" s="15">
        <f>SUM(B69:B76)</f>
        <v>82</v>
      </c>
      <c r="C77" s="15"/>
      <c r="D77" s="15">
        <f>SUM(D69:D76)</f>
        <v>1008</v>
      </c>
      <c r="E77" s="15"/>
    </row>
    <row r="78" spans="1:12" x14ac:dyDescent="0.25">
      <c r="A78" s="1" t="s">
        <v>52</v>
      </c>
      <c r="B78" s="15">
        <v>8</v>
      </c>
      <c r="C78" s="15"/>
      <c r="D78" s="15"/>
      <c r="E78" s="15"/>
    </row>
    <row r="82" spans="2:10" ht="18.75" x14ac:dyDescent="0.3">
      <c r="B82" s="16" t="s">
        <v>57</v>
      </c>
      <c r="C82" s="17"/>
      <c r="D82" s="17"/>
    </row>
    <row r="84" spans="2:10" ht="15.75" x14ac:dyDescent="0.25">
      <c r="B84" s="18" t="s">
        <v>58</v>
      </c>
      <c r="C84" s="18" t="s">
        <v>59</v>
      </c>
      <c r="D84" s="18" t="s">
        <v>60</v>
      </c>
      <c r="E84" s="18" t="s">
        <v>61</v>
      </c>
      <c r="F84" s="18" t="s">
        <v>62</v>
      </c>
      <c r="G84" s="19" t="s">
        <v>63</v>
      </c>
    </row>
    <row r="85" spans="2:10" x14ac:dyDescent="0.25">
      <c r="B85" s="3">
        <v>4</v>
      </c>
      <c r="C85" s="3">
        <v>2</v>
      </c>
      <c r="D85" s="3">
        <v>8</v>
      </c>
      <c r="E85" s="3">
        <v>32</v>
      </c>
      <c r="F85" s="3">
        <v>16</v>
      </c>
      <c r="G85" s="3"/>
    </row>
    <row r="86" spans="2:10" x14ac:dyDescent="0.25">
      <c r="B86" s="3">
        <v>7</v>
      </c>
      <c r="C86" s="3">
        <v>5</v>
      </c>
      <c r="D86" s="3">
        <v>35</v>
      </c>
      <c r="E86" s="3">
        <v>245</v>
      </c>
      <c r="F86" s="3">
        <v>49</v>
      </c>
      <c r="G86" s="3"/>
    </row>
    <row r="87" spans="2:10" x14ac:dyDescent="0.25">
      <c r="B87" s="3">
        <v>7</v>
      </c>
      <c r="C87" s="3">
        <v>4</v>
      </c>
      <c r="D87" s="3">
        <v>28</v>
      </c>
      <c r="E87" s="3">
        <v>196</v>
      </c>
      <c r="F87" s="3">
        <v>49</v>
      </c>
      <c r="G87" s="3">
        <v>4.55</v>
      </c>
    </row>
    <row r="88" spans="2:10" x14ac:dyDescent="0.25">
      <c r="B88" s="3">
        <v>8</v>
      </c>
      <c r="C88" s="3">
        <v>5</v>
      </c>
      <c r="D88" s="3">
        <v>40</v>
      </c>
      <c r="E88" s="3">
        <v>320</v>
      </c>
      <c r="F88" s="3">
        <v>64</v>
      </c>
      <c r="G88" s="3"/>
    </row>
    <row r="89" spans="2:10" x14ac:dyDescent="0.25">
      <c r="B89" s="3">
        <v>10</v>
      </c>
      <c r="C89" s="3">
        <v>3</v>
      </c>
      <c r="D89" s="3">
        <v>30</v>
      </c>
      <c r="E89" s="3">
        <v>300</v>
      </c>
      <c r="F89" s="3">
        <v>100</v>
      </c>
      <c r="G89" s="3"/>
    </row>
    <row r="90" spans="2:10" x14ac:dyDescent="0.25">
      <c r="B90" s="3">
        <v>12</v>
      </c>
      <c r="C90" s="3">
        <v>6</v>
      </c>
      <c r="D90" s="3">
        <v>72</v>
      </c>
      <c r="E90" s="3">
        <v>864</v>
      </c>
      <c r="F90" s="3">
        <v>144</v>
      </c>
      <c r="G90" s="3"/>
      <c r="I90" s="4"/>
      <c r="J90" s="4"/>
    </row>
    <row r="91" spans="2:10" x14ac:dyDescent="0.25">
      <c r="B91" s="3">
        <v>15</v>
      </c>
      <c r="C91" s="3">
        <v>7</v>
      </c>
      <c r="D91" s="3">
        <v>105</v>
      </c>
      <c r="E91" s="3">
        <v>1575</v>
      </c>
      <c r="F91" s="3">
        <v>225</v>
      </c>
      <c r="G91" s="3"/>
      <c r="I91" s="4" t="s">
        <v>65</v>
      </c>
      <c r="J91" s="4">
        <f>(432/38)^2</f>
        <v>129.2409972299169</v>
      </c>
    </row>
    <row r="92" spans="2:10" x14ac:dyDescent="0.25">
      <c r="B92" s="3">
        <v>19</v>
      </c>
      <c r="C92" s="3">
        <v>6</v>
      </c>
      <c r="D92" s="3">
        <v>114</v>
      </c>
      <c r="E92" s="3">
        <v>2166</v>
      </c>
      <c r="F92" s="3">
        <v>361</v>
      </c>
      <c r="G92" s="3"/>
      <c r="I92" s="4" t="s">
        <v>66</v>
      </c>
      <c r="J92" s="4">
        <f>5698/38</f>
        <v>149.94736842105263</v>
      </c>
    </row>
    <row r="93" spans="2:10" x14ac:dyDescent="0.25">
      <c r="B93" s="1" t="s">
        <v>64</v>
      </c>
      <c r="C93">
        <f>SUM(C85:C92)</f>
        <v>38</v>
      </c>
      <c r="D93">
        <f>SUM(D85:D92)</f>
        <v>432</v>
      </c>
      <c r="E93">
        <f>SUM(E85:E92)</f>
        <v>5698</v>
      </c>
      <c r="F93">
        <f>SUM(F85:F92)</f>
        <v>1008</v>
      </c>
      <c r="I93" s="4" t="s">
        <v>67</v>
      </c>
      <c r="J93" s="4">
        <f>J92-J91</f>
        <v>20.70637119113573</v>
      </c>
    </row>
    <row r="94" spans="2:10" x14ac:dyDescent="0.25">
      <c r="I94" s="4" t="s">
        <v>53</v>
      </c>
      <c r="J94" s="4">
        <f>SQRT(20.70637119)</f>
        <v>4.5504253856095698</v>
      </c>
    </row>
    <row r="95" spans="2:10" x14ac:dyDescent="0.25">
      <c r="I95" s="4" t="s">
        <v>48</v>
      </c>
      <c r="J95">
        <f>(J94)^2</f>
        <v>20.706371190000002</v>
      </c>
    </row>
    <row r="99" spans="1:10" ht="23.25" x14ac:dyDescent="0.35">
      <c r="B99" s="20" t="s">
        <v>68</v>
      </c>
    </row>
    <row r="100" spans="1:10" x14ac:dyDescent="0.25">
      <c r="H100" s="7"/>
      <c r="I100" s="7"/>
      <c r="J100" s="7"/>
    </row>
    <row r="101" spans="1:10" x14ac:dyDescent="0.25">
      <c r="A101" s="12" t="s">
        <v>69</v>
      </c>
      <c r="B101" s="12" t="s">
        <v>70</v>
      </c>
      <c r="C101" s="12" t="s">
        <v>71</v>
      </c>
      <c r="D101" s="12" t="s">
        <v>72</v>
      </c>
      <c r="E101" s="12" t="s">
        <v>74</v>
      </c>
      <c r="F101" t="s">
        <v>73</v>
      </c>
      <c r="H101" s="7"/>
      <c r="I101" s="7" t="s">
        <v>83</v>
      </c>
      <c r="J101" s="7">
        <f>52850/34</f>
        <v>1554.4117647058824</v>
      </c>
    </row>
    <row r="102" spans="1:10" x14ac:dyDescent="0.25">
      <c r="A102" s="22" t="s">
        <v>75</v>
      </c>
      <c r="B102" s="7">
        <v>2</v>
      </c>
      <c r="C102" s="7">
        <v>5</v>
      </c>
      <c r="D102" s="7">
        <v>10</v>
      </c>
      <c r="E102" s="7">
        <v>50</v>
      </c>
      <c r="H102" s="7"/>
      <c r="I102" s="7" t="s">
        <v>32</v>
      </c>
      <c r="J102" s="7">
        <v>34</v>
      </c>
    </row>
    <row r="103" spans="1:10" x14ac:dyDescent="0.25">
      <c r="A103" s="22" t="s">
        <v>76</v>
      </c>
      <c r="B103" s="7">
        <v>4</v>
      </c>
      <c r="C103" s="7">
        <v>15</v>
      </c>
      <c r="D103" s="7">
        <v>60</v>
      </c>
      <c r="E103" s="7">
        <v>900</v>
      </c>
      <c r="H103" s="7"/>
      <c r="I103" s="7" t="s">
        <v>81</v>
      </c>
      <c r="J103" s="7">
        <f>(1230/34)^2</f>
        <v>1308.7370242214536</v>
      </c>
    </row>
    <row r="104" spans="1:10" x14ac:dyDescent="0.25">
      <c r="A104" s="22" t="s">
        <v>77</v>
      </c>
      <c r="B104" s="7">
        <v>6</v>
      </c>
      <c r="C104" s="7">
        <v>25</v>
      </c>
      <c r="D104" s="7">
        <v>150</v>
      </c>
      <c r="E104" s="7">
        <v>3750</v>
      </c>
      <c r="H104" s="7"/>
      <c r="I104" s="7" t="s">
        <v>82</v>
      </c>
      <c r="J104" s="7">
        <v>10</v>
      </c>
    </row>
    <row r="105" spans="1:10" x14ac:dyDescent="0.25">
      <c r="A105" s="22" t="s">
        <v>78</v>
      </c>
      <c r="B105" s="7">
        <v>8</v>
      </c>
      <c r="C105" s="7">
        <v>35</v>
      </c>
      <c r="D105" s="7">
        <v>280</v>
      </c>
      <c r="E105" s="7">
        <v>9800</v>
      </c>
      <c r="H105" s="7"/>
      <c r="I105" s="7" t="s">
        <v>84</v>
      </c>
      <c r="J105" s="7">
        <f>1554.411765-1308.737024</f>
        <v>245.67474100000004</v>
      </c>
    </row>
    <row r="106" spans="1:10" x14ac:dyDescent="0.25">
      <c r="A106" s="22" t="s">
        <v>79</v>
      </c>
      <c r="B106" s="7">
        <v>4</v>
      </c>
      <c r="C106" s="7">
        <v>45</v>
      </c>
      <c r="D106" s="7">
        <v>180</v>
      </c>
      <c r="E106" s="7">
        <v>8100</v>
      </c>
      <c r="H106" s="7"/>
      <c r="I106" s="7" t="s">
        <v>85</v>
      </c>
      <c r="J106" s="7">
        <f>SQRT(245.674741)</f>
        <v>15.674014833475182</v>
      </c>
    </row>
    <row r="107" spans="1:10" x14ac:dyDescent="0.25">
      <c r="A107" s="22" t="s">
        <v>80</v>
      </c>
      <c r="B107" s="7">
        <v>10</v>
      </c>
      <c r="C107" s="7">
        <v>55</v>
      </c>
      <c r="D107" s="7">
        <v>550</v>
      </c>
      <c r="E107" s="7">
        <v>30250</v>
      </c>
      <c r="H107" s="7"/>
      <c r="I107" s="7" t="s">
        <v>86</v>
      </c>
      <c r="J107" s="7">
        <f>15.67401483*10</f>
        <v>156.74014830000002</v>
      </c>
    </row>
    <row r="108" spans="1:10" x14ac:dyDescent="0.25">
      <c r="A108" s="21"/>
      <c r="B108">
        <f>SUM(B102:B107)</f>
        <v>34</v>
      </c>
      <c r="D108">
        <f>SUM(D102:D107)</f>
        <v>1230</v>
      </c>
      <c r="E108">
        <f>SUM(E102:E107)</f>
        <v>52850</v>
      </c>
      <c r="H108" s="7"/>
      <c r="I108" s="7" t="s">
        <v>48</v>
      </c>
      <c r="J108" s="7">
        <f>(J107)^2</f>
        <v>24567.474089105999</v>
      </c>
    </row>
    <row r="109" spans="1:10" x14ac:dyDescent="0.25">
      <c r="A109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2022-01-18T08:39:35Z</dcterms:created>
  <dcterms:modified xsi:type="dcterms:W3CDTF">2022-01-31T11:09:20Z</dcterms:modified>
</cp:coreProperties>
</file>