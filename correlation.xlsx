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0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I157" i="1" l="1"/>
  <c r="F167" i="1"/>
  <c r="I163" i="1"/>
  <c r="I162" i="1"/>
  <c r="I161" i="1"/>
  <c r="I160" i="1"/>
  <c r="I159" i="1"/>
  <c r="I158" i="1"/>
  <c r="F158" i="1"/>
  <c r="F159" i="1"/>
  <c r="F160" i="1"/>
  <c r="F161" i="1"/>
  <c r="F162" i="1"/>
  <c r="F163" i="1"/>
  <c r="F164" i="1"/>
  <c r="F165" i="1"/>
  <c r="F166" i="1"/>
  <c r="F157" i="1"/>
  <c r="E158" i="1"/>
  <c r="E159" i="1"/>
  <c r="E160" i="1"/>
  <c r="E161" i="1"/>
  <c r="E162" i="1"/>
  <c r="E163" i="1"/>
  <c r="E164" i="1"/>
  <c r="E165" i="1"/>
  <c r="E166" i="1"/>
  <c r="E157" i="1"/>
  <c r="I144" i="1"/>
  <c r="I143" i="1"/>
  <c r="I142" i="1"/>
  <c r="I141" i="1"/>
  <c r="I140" i="1"/>
  <c r="I138" i="1"/>
  <c r="F151" i="1"/>
  <c r="B152" i="1"/>
  <c r="A152" i="1"/>
  <c r="B151" i="1"/>
  <c r="A151" i="1"/>
  <c r="F141" i="1"/>
  <c r="F142" i="1"/>
  <c r="F143" i="1"/>
  <c r="F144" i="1"/>
  <c r="F145" i="1"/>
  <c r="F146" i="1"/>
  <c r="F147" i="1"/>
  <c r="F148" i="1"/>
  <c r="F149" i="1"/>
  <c r="F150" i="1"/>
  <c r="F140" i="1"/>
  <c r="E141" i="1"/>
  <c r="E142" i="1"/>
  <c r="E143" i="1"/>
  <c r="E144" i="1"/>
  <c r="E145" i="1"/>
  <c r="E146" i="1"/>
  <c r="E147" i="1"/>
  <c r="E148" i="1"/>
  <c r="E149" i="1"/>
  <c r="E150" i="1"/>
  <c r="E140" i="1"/>
  <c r="I127" i="1" l="1"/>
  <c r="I112" i="1"/>
  <c r="I126" i="1"/>
  <c r="I125" i="1"/>
  <c r="I124" i="1"/>
  <c r="I123" i="1"/>
  <c r="I121" i="1"/>
  <c r="F134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19" i="1"/>
  <c r="B135" i="1"/>
  <c r="B134" i="1"/>
  <c r="A135" i="1"/>
  <c r="A134" i="1"/>
  <c r="I110" i="1" l="1"/>
  <c r="E98" i="1"/>
  <c r="E92" i="1"/>
  <c r="F109" i="1" l="1"/>
  <c r="I99" i="1"/>
  <c r="I111" i="1"/>
  <c r="I109" i="1"/>
  <c r="I108" i="1"/>
  <c r="I106" i="1"/>
  <c r="F115" i="1"/>
  <c r="F114" i="1"/>
  <c r="F113" i="1"/>
  <c r="F112" i="1"/>
  <c r="F111" i="1"/>
  <c r="F110" i="1"/>
  <c r="F108" i="1"/>
  <c r="F107" i="1"/>
  <c r="F106" i="1"/>
  <c r="F105" i="1"/>
  <c r="E114" i="1"/>
  <c r="E113" i="1"/>
  <c r="E112" i="1"/>
  <c r="E111" i="1"/>
  <c r="E110" i="1"/>
  <c r="E109" i="1"/>
  <c r="E108" i="1"/>
  <c r="E107" i="1"/>
  <c r="E106" i="1"/>
  <c r="E105" i="1"/>
  <c r="I32" i="1"/>
  <c r="I98" i="1"/>
  <c r="I97" i="1"/>
  <c r="I96" i="1"/>
  <c r="I95" i="1"/>
  <c r="I93" i="1"/>
  <c r="F101" i="1"/>
  <c r="F99" i="1"/>
  <c r="F98" i="1"/>
  <c r="F97" i="1"/>
  <c r="F96" i="1"/>
  <c r="F95" i="1"/>
  <c r="F94" i="1"/>
  <c r="E100" i="1"/>
  <c r="E99" i="1"/>
  <c r="E97" i="1"/>
  <c r="E96" i="1"/>
  <c r="E95" i="1"/>
  <c r="E94" i="1"/>
  <c r="E93" i="1"/>
  <c r="I65" i="1"/>
  <c r="I66" i="1" s="1"/>
  <c r="B81" i="1"/>
  <c r="I80" i="1" s="1"/>
  <c r="A81" i="1"/>
  <c r="I75" i="1" s="1"/>
  <c r="E80" i="1"/>
  <c r="E79" i="1"/>
  <c r="E78" i="1"/>
  <c r="E77" i="1"/>
  <c r="E76" i="1"/>
  <c r="E75" i="1"/>
  <c r="E74" i="1"/>
  <c r="E73" i="1"/>
  <c r="E72" i="1"/>
  <c r="E71" i="1"/>
  <c r="D80" i="1"/>
  <c r="D79" i="1"/>
  <c r="D78" i="1"/>
  <c r="D77" i="1"/>
  <c r="D76" i="1"/>
  <c r="D75" i="1"/>
  <c r="D74" i="1"/>
  <c r="D73" i="1"/>
  <c r="D72" i="1"/>
  <c r="D71" i="1"/>
  <c r="C80" i="1"/>
  <c r="C79" i="1"/>
  <c r="C78" i="1"/>
  <c r="C77" i="1"/>
  <c r="C76" i="1"/>
  <c r="C75" i="1"/>
  <c r="C74" i="1"/>
  <c r="C73" i="1"/>
  <c r="C72" i="1"/>
  <c r="C71" i="1"/>
  <c r="B62" i="1"/>
  <c r="I59" i="1" s="1"/>
  <c r="A62" i="1"/>
  <c r="I58" i="1" s="1"/>
  <c r="E61" i="1"/>
  <c r="E60" i="1"/>
  <c r="E59" i="1"/>
  <c r="E58" i="1"/>
  <c r="E57" i="1"/>
  <c r="E56" i="1"/>
  <c r="E55" i="1"/>
  <c r="E54" i="1"/>
  <c r="E53" i="1"/>
  <c r="E52" i="1"/>
  <c r="D61" i="1"/>
  <c r="D60" i="1"/>
  <c r="D59" i="1"/>
  <c r="D58" i="1"/>
  <c r="D57" i="1"/>
  <c r="D56" i="1"/>
  <c r="D55" i="1"/>
  <c r="D54" i="1"/>
  <c r="D53" i="1"/>
  <c r="D52" i="1"/>
  <c r="C61" i="1"/>
  <c r="C60" i="1"/>
  <c r="C59" i="1"/>
  <c r="C58" i="1"/>
  <c r="C57" i="1"/>
  <c r="C56" i="1"/>
  <c r="C55" i="1"/>
  <c r="C54" i="1"/>
  <c r="C53" i="1"/>
  <c r="C52" i="1"/>
  <c r="I45" i="1"/>
  <c r="I42" i="1"/>
  <c r="I44" i="1" s="1"/>
  <c r="I41" i="1"/>
  <c r="I43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I28" i="1"/>
  <c r="I29" i="1" s="1"/>
  <c r="I31" i="1" s="1"/>
  <c r="F25" i="1"/>
  <c r="F24" i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E24" i="1"/>
  <c r="B14" i="1"/>
  <c r="I8" i="1" s="1"/>
  <c r="A14" i="1"/>
  <c r="I11" i="1" s="1"/>
  <c r="C14" i="1"/>
  <c r="I6" i="1" s="1"/>
  <c r="I13" i="1" s="1"/>
  <c r="E13" i="1"/>
  <c r="E12" i="1"/>
  <c r="E11" i="1"/>
  <c r="E10" i="1"/>
  <c r="E9" i="1"/>
  <c r="E8" i="1"/>
  <c r="E7" i="1"/>
  <c r="E6" i="1"/>
  <c r="E5" i="1"/>
  <c r="E4" i="1"/>
  <c r="D13" i="1"/>
  <c r="D12" i="1"/>
  <c r="D11" i="1"/>
  <c r="D10" i="1"/>
  <c r="D9" i="1"/>
  <c r="D8" i="1"/>
  <c r="D7" i="1"/>
  <c r="D6" i="1"/>
  <c r="D5" i="1"/>
  <c r="D4" i="1"/>
  <c r="I79" i="1" l="1"/>
  <c r="D81" i="1"/>
  <c r="I77" i="1" s="1"/>
  <c r="I84" i="1" s="1"/>
  <c r="C81" i="1"/>
  <c r="I74" i="1" s="1"/>
  <c r="I81" i="1" s="1"/>
  <c r="E81" i="1"/>
  <c r="I78" i="1" s="1"/>
  <c r="I85" i="1" s="1"/>
  <c r="I76" i="1"/>
  <c r="I82" i="1" s="1"/>
  <c r="I54" i="1"/>
  <c r="I55" i="1"/>
  <c r="D14" i="1"/>
  <c r="I9" i="1" s="1"/>
  <c r="E14" i="1"/>
  <c r="I10" i="1" s="1"/>
  <c r="C62" i="1"/>
  <c r="I53" i="1" s="1"/>
  <c r="E62" i="1"/>
  <c r="I57" i="1" s="1"/>
  <c r="I64" i="1" s="1"/>
  <c r="D62" i="1"/>
  <c r="I56" i="1" s="1"/>
  <c r="F45" i="1"/>
  <c r="I38" i="1" s="1"/>
  <c r="I46" i="1" s="1"/>
  <c r="I47" i="1" s="1"/>
  <c r="F32" i="1"/>
  <c r="I26" i="1" s="1"/>
  <c r="I30" i="1" s="1"/>
  <c r="I12" i="1"/>
  <c r="I7" i="1"/>
  <c r="I16" i="1" s="1"/>
  <c r="I86" i="1" l="1"/>
  <c r="I87" i="1" s="1"/>
  <c r="I61" i="1"/>
  <c r="I83" i="1"/>
  <c r="I88" i="1" s="1"/>
  <c r="I14" i="1"/>
  <c r="I15" i="1" s="1"/>
  <c r="I63" i="1"/>
  <c r="I62" i="1"/>
  <c r="I67" i="1" s="1"/>
  <c r="I60" i="1"/>
  <c r="I17" i="1"/>
  <c r="I18" i="1" s="1"/>
  <c r="I19" i="1" l="1"/>
  <c r="I20" i="1" s="1"/>
</calcChain>
</file>

<file path=xl/sharedStrings.xml><?xml version="1.0" encoding="utf-8"?>
<sst xmlns="http://schemas.openxmlformats.org/spreadsheetml/2006/main" count="159" uniqueCount="74">
  <si>
    <r>
      <t xml:space="preserve">       </t>
    </r>
    <r>
      <rPr>
        <b/>
        <sz val="18"/>
        <color theme="1"/>
        <rFont val="Calibri"/>
        <family val="2"/>
        <scheme val="minor"/>
      </rPr>
      <t xml:space="preserve">                           C0RRELATION COEFFICIENT</t>
    </r>
  </si>
  <si>
    <t xml:space="preserve">    Price(X)</t>
  </si>
  <si>
    <r>
      <t xml:space="preserve">  </t>
    </r>
    <r>
      <rPr>
        <b/>
        <sz val="11"/>
        <color theme="1"/>
        <rFont val="Calibri"/>
        <family val="2"/>
        <scheme val="minor"/>
      </rPr>
      <t>Demand(y)</t>
    </r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</si>
  <si>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 XY</t>
    </r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</si>
  <si>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X^2</t>
    </r>
  </si>
  <si>
    <r>
      <t xml:space="preserve">     </t>
    </r>
    <r>
      <rPr>
        <b/>
        <sz val="11"/>
        <color theme="1"/>
        <rFont val="Calibri"/>
        <family val="2"/>
        <scheme val="minor"/>
      </rPr>
      <t>Y^2</t>
    </r>
  </si>
  <si>
    <t>Total XY</t>
  </si>
  <si>
    <t>Total X</t>
  </si>
  <si>
    <t>Total Y</t>
  </si>
  <si>
    <t>Total X^2</t>
  </si>
  <si>
    <t>Total Y^2</t>
  </si>
  <si>
    <t>Total (x)^2</t>
  </si>
  <si>
    <t>Total  (y)^2</t>
  </si>
  <si>
    <t>n</t>
  </si>
  <si>
    <t>n(total(xy))</t>
  </si>
  <si>
    <t>total x *total y</t>
  </si>
  <si>
    <t>n total(xy)- total x*total y</t>
  </si>
  <si>
    <t>n total x^2 - (total x)^2</t>
  </si>
  <si>
    <t>n total y^2 -(total y)^2</t>
  </si>
  <si>
    <t>sqrt</t>
  </si>
  <si>
    <t>r</t>
  </si>
  <si>
    <t xml:space="preserve">    is negative correlation </t>
  </si>
  <si>
    <t xml:space="preserve">       Ry</t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</si>
  <si>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  X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</si>
  <si>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Y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</si>
  <si>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Rx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</si>
  <si>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 Ry</t>
    </r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</si>
  <si>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 d=Rx-Ry</t>
    </r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</si>
  <si>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 d^2</t>
    </r>
  </si>
  <si>
    <t>total</t>
  </si>
  <si>
    <t>total d^2</t>
  </si>
  <si>
    <t>n^2</t>
  </si>
  <si>
    <t>n^2-1</t>
  </si>
  <si>
    <t>rs</t>
  </si>
  <si>
    <t>6*d^2</t>
  </si>
  <si>
    <t>n(n^2 -1)</t>
  </si>
  <si>
    <t>is a low positive correlation</t>
  </si>
  <si>
    <t xml:space="preserve">          Y</t>
  </si>
  <si>
    <t xml:space="preserve">             X</t>
  </si>
  <si>
    <t xml:space="preserve">       Rx</t>
  </si>
  <si>
    <t xml:space="preserve">   d=Rx-Ry</t>
  </si>
  <si>
    <t xml:space="preserve">        d^2</t>
  </si>
  <si>
    <t>m1</t>
  </si>
  <si>
    <t>m2</t>
  </si>
  <si>
    <t>m1^3</t>
  </si>
  <si>
    <t>m2^3</t>
  </si>
  <si>
    <t>(m1^3 - m1)/12</t>
  </si>
  <si>
    <t>(m2^3 -m2)/12</t>
  </si>
  <si>
    <t>low negative correlation</t>
  </si>
  <si>
    <t xml:space="preserve">       Maths X</t>
  </si>
  <si>
    <t xml:space="preserve">      Science  Y</t>
  </si>
  <si>
    <t xml:space="preserve"> </t>
  </si>
  <si>
    <t xml:space="preserve">       IQ X</t>
  </si>
  <si>
    <t xml:space="preserve">    ROCK  Y</t>
  </si>
  <si>
    <t xml:space="preserve">          spearman's rank correlation</t>
  </si>
  <si>
    <t xml:space="preserve">        X</t>
  </si>
  <si>
    <t xml:space="preserve">        Y</t>
  </si>
  <si>
    <t xml:space="preserve">    RX</t>
  </si>
  <si>
    <t xml:space="preserve">    RY</t>
  </si>
  <si>
    <t xml:space="preserve">  D=Rx-Ry</t>
  </si>
  <si>
    <t xml:space="preserve">     d^2</t>
  </si>
  <si>
    <t xml:space="preserve">          X</t>
  </si>
  <si>
    <t xml:space="preserve">       RX</t>
  </si>
  <si>
    <t xml:space="preserve">       RY</t>
  </si>
  <si>
    <t xml:space="preserve">  d^2</t>
  </si>
  <si>
    <t xml:space="preserve"> Life Exp x</t>
  </si>
  <si>
    <t xml:space="preserve"> cigarettes  Y</t>
  </si>
  <si>
    <t xml:space="preserve">   Rx</t>
  </si>
  <si>
    <t xml:space="preserve">    Age X</t>
  </si>
  <si>
    <t xml:space="preserve">  BMI Y</t>
  </si>
  <si>
    <t xml:space="preserve">   R y</t>
  </si>
  <si>
    <t xml:space="preserve"> month  X</t>
  </si>
  <si>
    <t xml:space="preserve"> hours Y</t>
  </si>
  <si>
    <t xml:space="preserve">  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</si>
</sst>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3" fillId="6" borderId="0" xfId="0" applyFont="1" applyFill="1"/>
    <xf numFmtId="0" fontId="0" fillId="6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4" borderId="0" xfId="0" applyFill="1"/>
    <xf numFmtId="0" fontId="1" fillId="15" borderId="0" xfId="0" applyFont="1" applyFill="1"/>
    <xf numFmtId="0" fontId="1" fillId="16" borderId="0" xfId="0" applyFont="1" applyFill="1"/>
    <xf numFmtId="0" fontId="0" fillId="16" borderId="0" xfId="0" applyFill="1"/>
    <xf numFmtId="0" fontId="1" fillId="3" borderId="0" xfId="0" applyFont="1" applyFill="1"/>
    <xf numFmtId="0" fontId="1" fillId="13" borderId="0" xfId="0" applyFont="1" applyFill="1"/>
    <xf numFmtId="0" fontId="1" fillId="7" borderId="0" xfId="0" applyFont="1" applyFill="1"/>
    <xf numFmtId="0" fontId="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7"/>
  <sheetViews>
    <sheetView tabSelected="1" topLeftCell="A137" zoomScaleNormal="100" workbookViewId="0">
      <selection activeCell="I158" sqref="I158"/>
    </sheetView>
  </sheetViews>
  <sheetFormatPr defaultRowHeight="15" x14ac:dyDescent="0.25"/>
  <cols>
    <col min="1" max="1" width="12.42578125" customWidth="1"/>
    <col min="2" max="2" width="12.140625" customWidth="1"/>
    <col min="5" max="5" width="10.28515625" customWidth="1"/>
    <col min="8" max="8" width="21.85546875" customWidth="1"/>
    <col min="9" max="9" width="10.7109375" bestFit="1" customWidth="1"/>
  </cols>
  <sheetData>
    <row r="1" spans="1:9" ht="23.25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9" ht="15.75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9" x14ac:dyDescent="0.25">
      <c r="A4" s="9">
        <v>11</v>
      </c>
      <c r="B4" s="9">
        <v>30</v>
      </c>
      <c r="C4" s="9">
        <v>330</v>
      </c>
      <c r="D4" s="9">
        <f>11^2</f>
        <v>121</v>
      </c>
      <c r="E4" s="9">
        <f t="shared" ref="E4:E13" si="0">B4^2</f>
        <v>900</v>
      </c>
      <c r="H4" s="8"/>
      <c r="I4" s="8"/>
    </row>
    <row r="5" spans="1:9" x14ac:dyDescent="0.25">
      <c r="A5" s="9">
        <v>12</v>
      </c>
      <c r="B5" s="9">
        <v>29</v>
      </c>
      <c r="C5" s="9">
        <v>348</v>
      </c>
      <c r="D5" s="9">
        <f>12^2</f>
        <v>144</v>
      </c>
      <c r="E5" s="9">
        <f t="shared" si="0"/>
        <v>841</v>
      </c>
      <c r="H5" s="8" t="s">
        <v>13</v>
      </c>
      <c r="I5" s="8">
        <v>10</v>
      </c>
    </row>
    <row r="6" spans="1:9" x14ac:dyDescent="0.25">
      <c r="A6" s="9">
        <v>13</v>
      </c>
      <c r="B6" s="9">
        <v>29</v>
      </c>
      <c r="C6" s="9">
        <v>377</v>
      </c>
      <c r="D6" s="9">
        <f>13^2</f>
        <v>169</v>
      </c>
      <c r="E6" s="9">
        <f t="shared" si="0"/>
        <v>841</v>
      </c>
      <c r="H6" s="8" t="s">
        <v>6</v>
      </c>
      <c r="I6" s="8">
        <f>C14</f>
        <v>3577</v>
      </c>
    </row>
    <row r="7" spans="1:9" x14ac:dyDescent="0.25">
      <c r="A7" s="9">
        <v>14</v>
      </c>
      <c r="B7" s="9">
        <v>25</v>
      </c>
      <c r="C7" s="9">
        <v>350</v>
      </c>
      <c r="D7" s="9">
        <f t="shared" ref="D7:D13" si="1">A7^2</f>
        <v>196</v>
      </c>
      <c r="E7" s="9">
        <f t="shared" si="0"/>
        <v>625</v>
      </c>
      <c r="H7" s="8" t="s">
        <v>7</v>
      </c>
      <c r="I7" s="8">
        <f>A14</f>
        <v>155</v>
      </c>
    </row>
    <row r="8" spans="1:9" x14ac:dyDescent="0.25">
      <c r="A8" s="9">
        <v>15</v>
      </c>
      <c r="B8" s="9">
        <v>24</v>
      </c>
      <c r="C8" s="9">
        <v>360</v>
      </c>
      <c r="D8" s="9">
        <f t="shared" si="1"/>
        <v>225</v>
      </c>
      <c r="E8" s="9">
        <f t="shared" si="0"/>
        <v>576</v>
      </c>
      <c r="H8" s="8" t="s">
        <v>8</v>
      </c>
      <c r="I8" s="8">
        <f>B14</f>
        <v>239</v>
      </c>
    </row>
    <row r="9" spans="1:9" x14ac:dyDescent="0.25">
      <c r="A9" s="9">
        <v>16</v>
      </c>
      <c r="B9" s="9">
        <v>24</v>
      </c>
      <c r="C9" s="9">
        <v>384</v>
      </c>
      <c r="D9" s="9">
        <f t="shared" si="1"/>
        <v>256</v>
      </c>
      <c r="E9" s="9">
        <f t="shared" si="0"/>
        <v>576</v>
      </c>
      <c r="H9" s="8" t="s">
        <v>9</v>
      </c>
      <c r="I9" s="8">
        <f>D14</f>
        <v>2485</v>
      </c>
    </row>
    <row r="10" spans="1:9" x14ac:dyDescent="0.25">
      <c r="A10" s="9">
        <v>17</v>
      </c>
      <c r="B10" s="9">
        <v>24</v>
      </c>
      <c r="C10" s="9">
        <v>408</v>
      </c>
      <c r="D10" s="9">
        <f t="shared" si="1"/>
        <v>289</v>
      </c>
      <c r="E10" s="9">
        <f t="shared" si="0"/>
        <v>576</v>
      </c>
      <c r="H10" s="8" t="s">
        <v>10</v>
      </c>
      <c r="I10" s="8">
        <f>E14</f>
        <v>5925</v>
      </c>
    </row>
    <row r="11" spans="1:9" x14ac:dyDescent="0.25">
      <c r="A11" s="9">
        <v>18</v>
      </c>
      <c r="B11" s="9">
        <v>21</v>
      </c>
      <c r="C11" s="9">
        <v>378</v>
      </c>
      <c r="D11" s="9">
        <f t="shared" si="1"/>
        <v>324</v>
      </c>
      <c r="E11" s="9">
        <f t="shared" si="0"/>
        <v>441</v>
      </c>
      <c r="H11" s="8" t="s">
        <v>11</v>
      </c>
      <c r="I11" s="8">
        <f>(A14)^2</f>
        <v>24025</v>
      </c>
    </row>
    <row r="12" spans="1:9" x14ac:dyDescent="0.25">
      <c r="A12" s="9">
        <v>19</v>
      </c>
      <c r="B12" s="9">
        <v>18</v>
      </c>
      <c r="C12" s="9">
        <v>342</v>
      </c>
      <c r="D12" s="9">
        <f t="shared" si="1"/>
        <v>361</v>
      </c>
      <c r="E12" s="9">
        <f t="shared" si="0"/>
        <v>324</v>
      </c>
      <c r="H12" s="8" t="s">
        <v>12</v>
      </c>
      <c r="I12" s="8">
        <f>(B14)^2</f>
        <v>57121</v>
      </c>
    </row>
    <row r="13" spans="1:9" x14ac:dyDescent="0.25">
      <c r="A13" s="9">
        <v>20</v>
      </c>
      <c r="B13" s="9">
        <v>15</v>
      </c>
      <c r="C13" s="9">
        <v>300</v>
      </c>
      <c r="D13" s="9">
        <f t="shared" si="1"/>
        <v>400</v>
      </c>
      <c r="E13" s="9">
        <f t="shared" si="0"/>
        <v>225</v>
      </c>
      <c r="H13" s="8" t="s">
        <v>14</v>
      </c>
      <c r="I13" s="8">
        <f>10*I6</f>
        <v>35770</v>
      </c>
    </row>
    <row r="14" spans="1:9" x14ac:dyDescent="0.25">
      <c r="A14" s="10">
        <f>SUM(A4:A13)</f>
        <v>155</v>
      </c>
      <c r="B14" s="10">
        <f>SUM(B4:B13)</f>
        <v>239</v>
      </c>
      <c r="C14" s="10">
        <f>SUM(C4:C13)</f>
        <v>3577</v>
      </c>
      <c r="D14" s="10">
        <f>SUM(D4:D13)</f>
        <v>2485</v>
      </c>
      <c r="E14" s="10">
        <f>SUM(E4:E13)</f>
        <v>5925</v>
      </c>
      <c r="H14" s="8" t="s">
        <v>15</v>
      </c>
      <c r="I14" s="8">
        <f>I7*I8</f>
        <v>37045</v>
      </c>
    </row>
    <row r="15" spans="1:9" x14ac:dyDescent="0.25">
      <c r="H15" s="8" t="s">
        <v>16</v>
      </c>
      <c r="I15" s="8">
        <f>I13-I14</f>
        <v>-1275</v>
      </c>
    </row>
    <row r="16" spans="1:9" x14ac:dyDescent="0.25">
      <c r="H16" s="8" t="s">
        <v>17</v>
      </c>
      <c r="I16" s="8">
        <f>10*I9-(I7)^2</f>
        <v>825</v>
      </c>
    </row>
    <row r="17" spans="1:13" x14ac:dyDescent="0.25">
      <c r="H17" s="8" t="s">
        <v>18</v>
      </c>
      <c r="I17" s="8">
        <f>10*I10-I12</f>
        <v>2129</v>
      </c>
    </row>
    <row r="18" spans="1:13" x14ac:dyDescent="0.25">
      <c r="A18" t="s">
        <v>21</v>
      </c>
      <c r="H18" s="8"/>
      <c r="I18" s="8">
        <f>I16*I17</f>
        <v>1756425</v>
      </c>
    </row>
    <row r="19" spans="1:13" x14ac:dyDescent="0.25">
      <c r="H19" s="8" t="s">
        <v>19</v>
      </c>
      <c r="I19" s="8">
        <f>SQRT(I18)</f>
        <v>1325.3018524094803</v>
      </c>
    </row>
    <row r="20" spans="1:13" x14ac:dyDescent="0.25">
      <c r="H20" s="8" t="s">
        <v>20</v>
      </c>
      <c r="I20" s="8">
        <f>I15/I19</f>
        <v>-0.96204498445540654</v>
      </c>
    </row>
    <row r="23" spans="1:13" x14ac:dyDescent="0.25">
      <c r="A23" s="12" t="s">
        <v>23</v>
      </c>
      <c r="B23" s="12" t="s">
        <v>24</v>
      </c>
      <c r="C23" s="12" t="s">
        <v>25</v>
      </c>
      <c r="D23" s="12" t="s">
        <v>26</v>
      </c>
      <c r="E23" s="12" t="s">
        <v>27</v>
      </c>
      <c r="F23" s="12" t="s">
        <v>28</v>
      </c>
    </row>
    <row r="24" spans="1:13" x14ac:dyDescent="0.25">
      <c r="A24" s="13">
        <v>8</v>
      </c>
      <c r="B24" s="13">
        <v>101</v>
      </c>
      <c r="C24" s="13">
        <v>6</v>
      </c>
      <c r="D24" s="13">
        <v>3</v>
      </c>
      <c r="E24" s="13">
        <f t="shared" ref="E24:E31" si="2">C24-D24</f>
        <v>3</v>
      </c>
      <c r="F24" s="13">
        <f>3^2</f>
        <v>9</v>
      </c>
      <c r="H24" s="8"/>
      <c r="I24" s="8"/>
      <c r="J24" s="8"/>
      <c r="K24" s="8"/>
      <c r="L24" s="8"/>
      <c r="M24" s="8"/>
    </row>
    <row r="25" spans="1:13" x14ac:dyDescent="0.25">
      <c r="A25" s="13">
        <v>7</v>
      </c>
      <c r="B25" s="13">
        <v>98</v>
      </c>
      <c r="C25" s="13">
        <v>7</v>
      </c>
      <c r="D25" s="13">
        <v>4</v>
      </c>
      <c r="E25" s="13">
        <f t="shared" si="2"/>
        <v>3</v>
      </c>
      <c r="F25" s="13">
        <f>3^2</f>
        <v>9</v>
      </c>
      <c r="H25" s="8"/>
      <c r="I25" s="8"/>
      <c r="J25" s="8"/>
      <c r="K25" s="8"/>
      <c r="L25" s="8"/>
      <c r="M25" s="8"/>
    </row>
    <row r="26" spans="1:13" x14ac:dyDescent="0.25">
      <c r="A26" s="13">
        <v>11</v>
      </c>
      <c r="B26" s="13">
        <v>96</v>
      </c>
      <c r="C26" s="13">
        <v>4</v>
      </c>
      <c r="D26" s="13">
        <v>6</v>
      </c>
      <c r="E26" s="13">
        <f t="shared" si="2"/>
        <v>-2</v>
      </c>
      <c r="F26" s="13">
        <f t="shared" ref="F26:F31" si="3">E26^2</f>
        <v>4</v>
      </c>
      <c r="H26" s="8" t="s">
        <v>30</v>
      </c>
      <c r="I26" s="8">
        <f>F32</f>
        <v>56</v>
      </c>
      <c r="J26" s="8"/>
      <c r="K26" s="8"/>
      <c r="L26" s="8"/>
      <c r="M26" s="8"/>
    </row>
    <row r="27" spans="1:13" x14ac:dyDescent="0.25">
      <c r="A27" s="13">
        <v>10</v>
      </c>
      <c r="B27" s="13">
        <v>105</v>
      </c>
      <c r="C27" s="13">
        <v>5</v>
      </c>
      <c r="D27" s="13">
        <v>2</v>
      </c>
      <c r="E27" s="13">
        <f t="shared" si="2"/>
        <v>3</v>
      </c>
      <c r="F27" s="13">
        <f t="shared" si="3"/>
        <v>9</v>
      </c>
      <c r="H27" s="8" t="s">
        <v>13</v>
      </c>
      <c r="I27" s="8">
        <v>8</v>
      </c>
      <c r="J27" s="8"/>
      <c r="K27" s="8"/>
      <c r="L27" s="8"/>
      <c r="M27" s="8"/>
    </row>
    <row r="28" spans="1:13" x14ac:dyDescent="0.25">
      <c r="A28" s="13">
        <v>19</v>
      </c>
      <c r="B28" s="13">
        <v>110</v>
      </c>
      <c r="C28" s="13">
        <v>1</v>
      </c>
      <c r="D28" s="13">
        <v>1</v>
      </c>
      <c r="E28" s="13">
        <f t="shared" si="2"/>
        <v>0</v>
      </c>
      <c r="F28" s="13">
        <f t="shared" si="3"/>
        <v>0</v>
      </c>
      <c r="H28" s="8" t="s">
        <v>31</v>
      </c>
      <c r="I28" s="8">
        <f>I27^2</f>
        <v>64</v>
      </c>
      <c r="J28" s="8"/>
      <c r="K28" s="8"/>
      <c r="L28" s="8"/>
      <c r="M28" s="8"/>
    </row>
    <row r="29" spans="1:13" x14ac:dyDescent="0.25">
      <c r="A29" s="13">
        <v>14</v>
      </c>
      <c r="B29" s="13">
        <v>97</v>
      </c>
      <c r="C29" s="13">
        <v>2</v>
      </c>
      <c r="D29" s="13">
        <v>5</v>
      </c>
      <c r="E29" s="13">
        <f t="shared" si="2"/>
        <v>-3</v>
      </c>
      <c r="F29" s="13">
        <f t="shared" si="3"/>
        <v>9</v>
      </c>
      <c r="H29" s="8" t="s">
        <v>32</v>
      </c>
      <c r="I29" s="8">
        <f>I28-1</f>
        <v>63</v>
      </c>
      <c r="J29" s="8"/>
      <c r="K29" s="8"/>
      <c r="L29" s="8"/>
      <c r="M29" s="8"/>
    </row>
    <row r="30" spans="1:13" x14ac:dyDescent="0.25">
      <c r="A30" s="13">
        <v>6</v>
      </c>
      <c r="B30" s="13">
        <v>11</v>
      </c>
      <c r="C30" s="13">
        <v>8</v>
      </c>
      <c r="D30" s="13">
        <v>8</v>
      </c>
      <c r="E30" s="13">
        <f t="shared" si="2"/>
        <v>0</v>
      </c>
      <c r="F30" s="13">
        <f t="shared" si="3"/>
        <v>0</v>
      </c>
      <c r="H30" s="8" t="s">
        <v>34</v>
      </c>
      <c r="I30" s="8">
        <f>6*I26</f>
        <v>336</v>
      </c>
      <c r="J30" s="8"/>
      <c r="K30" s="8"/>
      <c r="L30" s="8"/>
      <c r="M30" s="8"/>
    </row>
    <row r="31" spans="1:13" x14ac:dyDescent="0.25">
      <c r="A31" s="13">
        <v>13</v>
      </c>
      <c r="B31" s="13">
        <v>50</v>
      </c>
      <c r="C31" s="13">
        <v>3</v>
      </c>
      <c r="D31" s="13">
        <v>7</v>
      </c>
      <c r="E31" s="13">
        <f t="shared" si="2"/>
        <v>-4</v>
      </c>
      <c r="F31" s="13">
        <f t="shared" si="3"/>
        <v>16</v>
      </c>
      <c r="H31" s="8" t="s">
        <v>35</v>
      </c>
      <c r="I31" s="8">
        <f>8*(I29)</f>
        <v>504</v>
      </c>
      <c r="J31" s="8"/>
      <c r="K31" s="8"/>
      <c r="L31" s="8"/>
      <c r="M31" s="8"/>
    </row>
    <row r="32" spans="1:13" x14ac:dyDescent="0.25">
      <c r="A32" t="s">
        <v>29</v>
      </c>
      <c r="F32">
        <f>SUM(F24:F31)</f>
        <v>56</v>
      </c>
      <c r="H32" s="8" t="s">
        <v>33</v>
      </c>
      <c r="I32" s="8">
        <f>1-(I30/I31)</f>
        <v>0.33333333333333337</v>
      </c>
      <c r="J32" s="8"/>
      <c r="K32" s="8" t="s">
        <v>36</v>
      </c>
      <c r="L32" s="8"/>
      <c r="M32" s="8"/>
    </row>
    <row r="37" spans="1:13" x14ac:dyDescent="0.25">
      <c r="A37" s="14" t="s">
        <v>38</v>
      </c>
      <c r="B37" s="14" t="s">
        <v>37</v>
      </c>
      <c r="C37" s="14" t="s">
        <v>39</v>
      </c>
      <c r="D37" s="14" t="s">
        <v>22</v>
      </c>
      <c r="E37" s="14" t="s">
        <v>40</v>
      </c>
      <c r="F37" s="14" t="s">
        <v>41</v>
      </c>
      <c r="G37" s="5"/>
      <c r="H37" s="8"/>
      <c r="I37" s="8"/>
      <c r="J37" s="8"/>
      <c r="K37" s="8"/>
    </row>
    <row r="38" spans="1:13" x14ac:dyDescent="0.25">
      <c r="A38" s="1">
        <v>10</v>
      </c>
      <c r="B38" s="1">
        <v>4</v>
      </c>
      <c r="C38" s="1">
        <v>4.5</v>
      </c>
      <c r="D38" s="1">
        <v>6</v>
      </c>
      <c r="E38" s="1">
        <f t="shared" ref="E38:E44" si="4">C38-D38</f>
        <v>-1.5</v>
      </c>
      <c r="F38" s="1">
        <f t="shared" ref="F38:F44" si="5">E38^2</f>
        <v>2.25</v>
      </c>
      <c r="H38" s="8" t="s">
        <v>30</v>
      </c>
      <c r="I38" s="8">
        <f>F45</f>
        <v>79.5</v>
      </c>
      <c r="J38" s="8"/>
      <c r="K38" s="8"/>
    </row>
    <row r="39" spans="1:13" x14ac:dyDescent="0.25">
      <c r="A39" s="1">
        <v>11</v>
      </c>
      <c r="B39" s="1">
        <v>5</v>
      </c>
      <c r="C39" s="1">
        <v>3</v>
      </c>
      <c r="D39" s="1">
        <v>4</v>
      </c>
      <c r="E39" s="1">
        <f t="shared" si="4"/>
        <v>-1</v>
      </c>
      <c r="F39" s="1">
        <f t="shared" si="5"/>
        <v>1</v>
      </c>
      <c r="H39" s="8" t="s">
        <v>42</v>
      </c>
      <c r="I39" s="8">
        <v>2</v>
      </c>
      <c r="J39" s="8"/>
      <c r="K39" s="8"/>
    </row>
    <row r="40" spans="1:13" x14ac:dyDescent="0.25">
      <c r="A40" s="1">
        <v>12</v>
      </c>
      <c r="B40" s="1">
        <v>6</v>
      </c>
      <c r="C40" s="1">
        <v>2</v>
      </c>
      <c r="D40" s="1">
        <v>2</v>
      </c>
      <c r="E40" s="1">
        <f t="shared" si="4"/>
        <v>0</v>
      </c>
      <c r="F40" s="1">
        <f t="shared" si="5"/>
        <v>0</v>
      </c>
      <c r="H40" s="8" t="s">
        <v>43</v>
      </c>
      <c r="I40" s="8">
        <v>3</v>
      </c>
      <c r="J40" s="8"/>
      <c r="K40" s="8"/>
    </row>
    <row r="41" spans="1:13" x14ac:dyDescent="0.25">
      <c r="A41" s="1">
        <v>8</v>
      </c>
      <c r="B41" s="1">
        <v>5</v>
      </c>
      <c r="C41" s="1">
        <v>6</v>
      </c>
      <c r="D41" s="1">
        <v>4</v>
      </c>
      <c r="E41" s="1">
        <f t="shared" si="4"/>
        <v>2</v>
      </c>
      <c r="F41" s="1">
        <f t="shared" si="5"/>
        <v>4</v>
      </c>
      <c r="H41" s="8" t="s">
        <v>44</v>
      </c>
      <c r="I41" s="8">
        <f>I39^3</f>
        <v>8</v>
      </c>
      <c r="J41" s="8"/>
      <c r="K41" s="8"/>
    </row>
    <row r="42" spans="1:13" x14ac:dyDescent="0.25">
      <c r="A42" s="1">
        <v>10</v>
      </c>
      <c r="B42" s="1">
        <v>5</v>
      </c>
      <c r="C42" s="1">
        <v>4.5</v>
      </c>
      <c r="D42" s="1">
        <v>4</v>
      </c>
      <c r="E42" s="1">
        <f t="shared" si="4"/>
        <v>0.5</v>
      </c>
      <c r="F42" s="1">
        <f t="shared" si="5"/>
        <v>0.25</v>
      </c>
      <c r="H42" s="8" t="s">
        <v>45</v>
      </c>
      <c r="I42" s="8">
        <f>I40^3</f>
        <v>27</v>
      </c>
      <c r="J42" s="8"/>
      <c r="K42" s="8"/>
    </row>
    <row r="43" spans="1:13" x14ac:dyDescent="0.25">
      <c r="A43" s="1">
        <v>15</v>
      </c>
      <c r="B43" s="1">
        <v>3</v>
      </c>
      <c r="C43" s="1">
        <v>1</v>
      </c>
      <c r="D43" s="1">
        <v>7</v>
      </c>
      <c r="E43" s="1">
        <f t="shared" si="4"/>
        <v>-6</v>
      </c>
      <c r="F43" s="1">
        <f t="shared" si="5"/>
        <v>36</v>
      </c>
      <c r="H43" s="8" t="s">
        <v>46</v>
      </c>
      <c r="I43" s="8">
        <f>(I41-I39)/12</f>
        <v>0.5</v>
      </c>
      <c r="J43" s="8"/>
      <c r="K43" s="8"/>
      <c r="M43" t="s">
        <v>48</v>
      </c>
    </row>
    <row r="44" spans="1:13" x14ac:dyDescent="0.25">
      <c r="A44" s="1">
        <v>7</v>
      </c>
      <c r="B44" s="1">
        <v>7</v>
      </c>
      <c r="C44" s="1">
        <v>7</v>
      </c>
      <c r="D44" s="1">
        <v>1</v>
      </c>
      <c r="E44" s="1">
        <f t="shared" si="4"/>
        <v>6</v>
      </c>
      <c r="F44" s="1">
        <f t="shared" si="5"/>
        <v>36</v>
      </c>
      <c r="H44" s="8" t="s">
        <v>47</v>
      </c>
      <c r="I44" s="8">
        <f>(I42-I40)/12</f>
        <v>2</v>
      </c>
      <c r="J44" s="8"/>
      <c r="K44" s="8"/>
    </row>
    <row r="45" spans="1:13" x14ac:dyDescent="0.25">
      <c r="F45" s="1">
        <f>SUM(F38:F44)</f>
        <v>79.5</v>
      </c>
      <c r="H45" s="8" t="s">
        <v>35</v>
      </c>
      <c r="I45" s="8">
        <f>7*(7^2-1)</f>
        <v>336</v>
      </c>
      <c r="J45" s="8"/>
      <c r="K45" s="8"/>
    </row>
    <row r="46" spans="1:13" x14ac:dyDescent="0.25">
      <c r="H46" s="8"/>
      <c r="I46" s="8">
        <f>6*(I38+I43+I44)</f>
        <v>492</v>
      </c>
      <c r="J46" s="8"/>
      <c r="K46" s="8"/>
    </row>
    <row r="47" spans="1:13" x14ac:dyDescent="0.25">
      <c r="H47" s="8"/>
      <c r="I47" s="8">
        <f>1-I46/I45</f>
        <v>-0.46428571428571419</v>
      </c>
      <c r="J47" s="8"/>
      <c r="K47" s="8"/>
    </row>
    <row r="51" spans="1:9" x14ac:dyDescent="0.25">
      <c r="A51" s="15" t="s">
        <v>49</v>
      </c>
      <c r="B51" s="15" t="s">
        <v>50</v>
      </c>
      <c r="C51" s="16" t="s">
        <v>3</v>
      </c>
      <c r="D51" s="16" t="s">
        <v>4</v>
      </c>
      <c r="E51" s="16" t="s">
        <v>5</v>
      </c>
      <c r="H51" s="8"/>
    </row>
    <row r="52" spans="1:9" x14ac:dyDescent="0.25">
      <c r="A52" s="3">
        <v>70</v>
      </c>
      <c r="B52" s="3">
        <v>90</v>
      </c>
      <c r="C52" s="3">
        <f t="shared" ref="C52:C61" si="6">A52*B52</f>
        <v>6300</v>
      </c>
      <c r="D52" s="3">
        <f t="shared" ref="D52:D61" si="7">A52^2</f>
        <v>4900</v>
      </c>
      <c r="E52" s="3">
        <f t="shared" ref="E52:E61" si="8">B52^2</f>
        <v>8100</v>
      </c>
      <c r="H52" s="8" t="s">
        <v>13</v>
      </c>
      <c r="I52">
        <v>10</v>
      </c>
    </row>
    <row r="53" spans="1:9" x14ac:dyDescent="0.25">
      <c r="A53" s="3">
        <v>78</v>
      </c>
      <c r="B53" s="3">
        <v>94</v>
      </c>
      <c r="C53" s="3">
        <f t="shared" si="6"/>
        <v>7332</v>
      </c>
      <c r="D53" s="3">
        <f t="shared" si="7"/>
        <v>6084</v>
      </c>
      <c r="E53" s="3">
        <f t="shared" si="8"/>
        <v>8836</v>
      </c>
      <c r="H53" s="8" t="s">
        <v>6</v>
      </c>
      <c r="I53">
        <f>C62</f>
        <v>69917</v>
      </c>
    </row>
    <row r="54" spans="1:9" x14ac:dyDescent="0.25">
      <c r="A54" s="3">
        <v>90</v>
      </c>
      <c r="B54" s="3">
        <v>79</v>
      </c>
      <c r="C54" s="3">
        <f t="shared" si="6"/>
        <v>7110</v>
      </c>
      <c r="D54" s="3">
        <f t="shared" si="7"/>
        <v>8100</v>
      </c>
      <c r="E54" s="3">
        <f t="shared" si="8"/>
        <v>6241</v>
      </c>
      <c r="H54" s="8" t="s">
        <v>7</v>
      </c>
      <c r="I54">
        <f>A62</f>
        <v>828</v>
      </c>
    </row>
    <row r="55" spans="1:9" x14ac:dyDescent="0.25">
      <c r="A55" s="3">
        <v>87</v>
      </c>
      <c r="B55" s="3">
        <v>86</v>
      </c>
      <c r="C55" s="3">
        <f t="shared" si="6"/>
        <v>7482</v>
      </c>
      <c r="D55" s="3">
        <f t="shared" si="7"/>
        <v>7569</v>
      </c>
      <c r="E55" s="3">
        <f t="shared" si="8"/>
        <v>7396</v>
      </c>
      <c r="H55" s="8" t="s">
        <v>8</v>
      </c>
      <c r="I55">
        <f>B62</f>
        <v>847</v>
      </c>
    </row>
    <row r="56" spans="1:9" x14ac:dyDescent="0.25">
      <c r="A56" s="3">
        <v>84</v>
      </c>
      <c r="B56" s="3">
        <v>84</v>
      </c>
      <c r="C56" s="3">
        <f t="shared" si="6"/>
        <v>7056</v>
      </c>
      <c r="D56" s="3">
        <f t="shared" si="7"/>
        <v>7056</v>
      </c>
      <c r="E56" s="3">
        <f t="shared" si="8"/>
        <v>7056</v>
      </c>
      <c r="H56" s="8" t="s">
        <v>9</v>
      </c>
      <c r="I56">
        <f>D62</f>
        <v>68976</v>
      </c>
    </row>
    <row r="57" spans="1:9" x14ac:dyDescent="0.25">
      <c r="A57" s="3">
        <v>86</v>
      </c>
      <c r="B57" s="3">
        <v>83</v>
      </c>
      <c r="C57" s="3">
        <f t="shared" si="6"/>
        <v>7138</v>
      </c>
      <c r="D57" s="3">
        <f t="shared" si="7"/>
        <v>7396</v>
      </c>
      <c r="E57" s="3">
        <f t="shared" si="8"/>
        <v>6889</v>
      </c>
      <c r="H57" s="8" t="s">
        <v>10</v>
      </c>
      <c r="I57">
        <f>E62</f>
        <v>72127</v>
      </c>
    </row>
    <row r="58" spans="1:9" x14ac:dyDescent="0.25">
      <c r="A58" s="3">
        <v>91</v>
      </c>
      <c r="B58" s="3">
        <v>88</v>
      </c>
      <c r="C58" s="3">
        <f t="shared" si="6"/>
        <v>8008</v>
      </c>
      <c r="D58" s="3">
        <f t="shared" si="7"/>
        <v>8281</v>
      </c>
      <c r="E58" s="3">
        <f t="shared" si="8"/>
        <v>7744</v>
      </c>
      <c r="H58" s="8" t="s">
        <v>11</v>
      </c>
      <c r="I58">
        <f>A62^2</f>
        <v>685584</v>
      </c>
    </row>
    <row r="59" spans="1:9" x14ac:dyDescent="0.25">
      <c r="A59" s="3">
        <v>74</v>
      </c>
      <c r="B59" s="3">
        <v>92</v>
      </c>
      <c r="C59" s="3">
        <f t="shared" si="6"/>
        <v>6808</v>
      </c>
      <c r="D59" s="3">
        <f t="shared" si="7"/>
        <v>5476</v>
      </c>
      <c r="E59" s="3">
        <f t="shared" si="8"/>
        <v>8464</v>
      </c>
      <c r="H59" s="8" t="s">
        <v>12</v>
      </c>
      <c r="I59">
        <f>B62^2</f>
        <v>717409</v>
      </c>
    </row>
    <row r="60" spans="1:9" x14ac:dyDescent="0.25">
      <c r="A60" s="3">
        <v>83</v>
      </c>
      <c r="B60" s="3">
        <v>76</v>
      </c>
      <c r="C60" s="3">
        <f t="shared" si="6"/>
        <v>6308</v>
      </c>
      <c r="D60" s="3">
        <f t="shared" si="7"/>
        <v>6889</v>
      </c>
      <c r="E60" s="3">
        <f t="shared" si="8"/>
        <v>5776</v>
      </c>
      <c r="H60" s="8" t="s">
        <v>14</v>
      </c>
      <c r="I60">
        <f>10*I53</f>
        <v>699170</v>
      </c>
    </row>
    <row r="61" spans="1:9" x14ac:dyDescent="0.25">
      <c r="A61" s="3">
        <v>85</v>
      </c>
      <c r="B61" s="3">
        <v>75</v>
      </c>
      <c r="C61" s="3">
        <f t="shared" si="6"/>
        <v>6375</v>
      </c>
      <c r="D61" s="3">
        <f t="shared" si="7"/>
        <v>7225</v>
      </c>
      <c r="E61" s="3">
        <f t="shared" si="8"/>
        <v>5625</v>
      </c>
      <c r="H61" s="8" t="s">
        <v>15</v>
      </c>
      <c r="I61">
        <f>I54*I55</f>
        <v>701316</v>
      </c>
    </row>
    <row r="62" spans="1:9" x14ac:dyDescent="0.25">
      <c r="A62" s="11">
        <f>SUM(A52:A61)</f>
        <v>828</v>
      </c>
      <c r="B62" s="11">
        <f>SUM(B52:B61)</f>
        <v>847</v>
      </c>
      <c r="C62" s="11">
        <f>SUM(C52:C61)</f>
        <v>69917</v>
      </c>
      <c r="D62" s="11">
        <f>SUM(D52:D61)</f>
        <v>68976</v>
      </c>
      <c r="E62" s="11">
        <f>SUM(E52:E61)</f>
        <v>72127</v>
      </c>
      <c r="H62" s="8" t="s">
        <v>16</v>
      </c>
      <c r="I62">
        <f>10*(I53)-I54*I55</f>
        <v>-2146</v>
      </c>
    </row>
    <row r="63" spans="1:9" x14ac:dyDescent="0.25">
      <c r="H63" s="8" t="s">
        <v>17</v>
      </c>
      <c r="I63">
        <f>10*(I56)-(I54)^2</f>
        <v>4176</v>
      </c>
    </row>
    <row r="64" spans="1:9" x14ac:dyDescent="0.25">
      <c r="H64" s="8" t="s">
        <v>18</v>
      </c>
      <c r="I64">
        <f>10*(I57)-(I55)^2</f>
        <v>3861</v>
      </c>
    </row>
    <row r="65" spans="1:9" x14ac:dyDescent="0.25">
      <c r="H65" s="8"/>
      <c r="I65">
        <f>4176*3861</f>
        <v>16123536</v>
      </c>
    </row>
    <row r="66" spans="1:9" x14ac:dyDescent="0.25">
      <c r="H66" s="8" t="s">
        <v>19</v>
      </c>
      <c r="I66">
        <f>SQRT(I65)</f>
        <v>4015.4123075968178</v>
      </c>
    </row>
    <row r="67" spans="1:9" x14ac:dyDescent="0.25">
      <c r="H67" s="8" t="s">
        <v>20</v>
      </c>
      <c r="I67">
        <f>I66/I62</f>
        <v>-1.8711147752082096</v>
      </c>
    </row>
    <row r="70" spans="1:9" x14ac:dyDescent="0.25">
      <c r="A70" s="17" t="s">
        <v>52</v>
      </c>
      <c r="B70" s="17" t="s">
        <v>53</v>
      </c>
      <c r="C70" s="2" t="s">
        <v>3</v>
      </c>
      <c r="D70" s="2" t="s">
        <v>4</v>
      </c>
      <c r="E70" s="2" t="s">
        <v>5</v>
      </c>
    </row>
    <row r="71" spans="1:9" x14ac:dyDescent="0.25">
      <c r="A71">
        <v>99</v>
      </c>
      <c r="B71">
        <v>2</v>
      </c>
      <c r="C71">
        <f t="shared" ref="C71:C80" si="9">A71*B71</f>
        <v>198</v>
      </c>
      <c r="D71">
        <f t="shared" ref="D71:D80" si="10">A71^2</f>
        <v>9801</v>
      </c>
      <c r="E71">
        <f t="shared" ref="E71:E80" si="11">B71^2</f>
        <v>4</v>
      </c>
    </row>
    <row r="72" spans="1:9" x14ac:dyDescent="0.25">
      <c r="A72">
        <v>120</v>
      </c>
      <c r="B72">
        <v>0</v>
      </c>
      <c r="C72">
        <f t="shared" si="9"/>
        <v>0</v>
      </c>
      <c r="D72">
        <f t="shared" si="10"/>
        <v>14400</v>
      </c>
      <c r="E72">
        <f t="shared" si="11"/>
        <v>0</v>
      </c>
      <c r="H72" s="8"/>
    </row>
    <row r="73" spans="1:9" x14ac:dyDescent="0.25">
      <c r="A73">
        <v>98</v>
      </c>
      <c r="B73">
        <v>25</v>
      </c>
      <c r="C73">
        <f t="shared" si="9"/>
        <v>2450</v>
      </c>
      <c r="D73">
        <f t="shared" si="10"/>
        <v>9604</v>
      </c>
      <c r="E73">
        <f t="shared" si="11"/>
        <v>625</v>
      </c>
      <c r="H73" s="8" t="s">
        <v>13</v>
      </c>
      <c r="I73">
        <v>10</v>
      </c>
    </row>
    <row r="74" spans="1:9" x14ac:dyDescent="0.25">
      <c r="A74">
        <v>102</v>
      </c>
      <c r="B74">
        <v>45</v>
      </c>
      <c r="C74">
        <f t="shared" si="9"/>
        <v>4590</v>
      </c>
      <c r="D74">
        <f t="shared" si="10"/>
        <v>10404</v>
      </c>
      <c r="E74">
        <f t="shared" si="11"/>
        <v>2025</v>
      </c>
      <c r="H74" s="8" t="s">
        <v>6</v>
      </c>
      <c r="I74">
        <f>C81</f>
        <v>17359</v>
      </c>
    </row>
    <row r="75" spans="1:9" x14ac:dyDescent="0.25">
      <c r="A75">
        <v>123</v>
      </c>
      <c r="B75">
        <v>14</v>
      </c>
      <c r="C75">
        <f t="shared" si="9"/>
        <v>1722</v>
      </c>
      <c r="D75">
        <f t="shared" si="10"/>
        <v>15129</v>
      </c>
      <c r="E75">
        <f t="shared" si="11"/>
        <v>196</v>
      </c>
      <c r="H75" s="8" t="s">
        <v>7</v>
      </c>
      <c r="I75">
        <f>A81</f>
        <v>1049</v>
      </c>
    </row>
    <row r="76" spans="1:9" x14ac:dyDescent="0.25">
      <c r="A76">
        <v>105</v>
      </c>
      <c r="B76">
        <v>20</v>
      </c>
      <c r="C76">
        <f t="shared" si="9"/>
        <v>2100</v>
      </c>
      <c r="D76">
        <f t="shared" si="10"/>
        <v>11025</v>
      </c>
      <c r="E76">
        <f t="shared" si="11"/>
        <v>400</v>
      </c>
      <c r="H76" s="8" t="s">
        <v>8</v>
      </c>
      <c r="I76">
        <f>B81</f>
        <v>166</v>
      </c>
    </row>
    <row r="77" spans="1:9" x14ac:dyDescent="0.25">
      <c r="A77">
        <v>85</v>
      </c>
      <c r="B77">
        <v>15</v>
      </c>
      <c r="C77">
        <f t="shared" si="9"/>
        <v>1275</v>
      </c>
      <c r="D77">
        <f t="shared" si="10"/>
        <v>7225</v>
      </c>
      <c r="E77">
        <f t="shared" si="11"/>
        <v>225</v>
      </c>
      <c r="H77" s="8" t="s">
        <v>9</v>
      </c>
      <c r="I77">
        <f>D81</f>
        <v>111477</v>
      </c>
    </row>
    <row r="78" spans="1:9" x14ac:dyDescent="0.25">
      <c r="A78">
        <v>110</v>
      </c>
      <c r="B78">
        <v>19</v>
      </c>
      <c r="C78">
        <f t="shared" si="9"/>
        <v>2090</v>
      </c>
      <c r="D78">
        <f t="shared" si="10"/>
        <v>12100</v>
      </c>
      <c r="E78">
        <f t="shared" si="11"/>
        <v>361</v>
      </c>
      <c r="H78" s="8" t="s">
        <v>10</v>
      </c>
      <c r="I78">
        <f>E81</f>
        <v>4336</v>
      </c>
    </row>
    <row r="79" spans="1:9" x14ac:dyDescent="0.25">
      <c r="A79">
        <v>117</v>
      </c>
      <c r="B79">
        <v>22</v>
      </c>
      <c r="C79">
        <f t="shared" si="9"/>
        <v>2574</v>
      </c>
      <c r="D79">
        <f t="shared" si="10"/>
        <v>13689</v>
      </c>
      <c r="E79">
        <f t="shared" si="11"/>
        <v>484</v>
      </c>
      <c r="H79" s="8" t="s">
        <v>11</v>
      </c>
      <c r="I79">
        <f>A81^2</f>
        <v>1100401</v>
      </c>
    </row>
    <row r="80" spans="1:9" x14ac:dyDescent="0.25">
      <c r="A80">
        <v>90</v>
      </c>
      <c r="B80">
        <v>4</v>
      </c>
      <c r="C80">
        <f t="shared" si="9"/>
        <v>360</v>
      </c>
      <c r="D80">
        <f t="shared" si="10"/>
        <v>8100</v>
      </c>
      <c r="E80">
        <f t="shared" si="11"/>
        <v>16</v>
      </c>
      <c r="H80" s="8" t="s">
        <v>12</v>
      </c>
      <c r="I80">
        <f>B81^2</f>
        <v>27556</v>
      </c>
    </row>
    <row r="81" spans="1:9" x14ac:dyDescent="0.25">
      <c r="A81">
        <f>SUM(A71:A80)</f>
        <v>1049</v>
      </c>
      <c r="B81">
        <f>SUM(B71:B80)</f>
        <v>166</v>
      </c>
      <c r="C81">
        <f>SUM(C71:C80)</f>
        <v>17359</v>
      </c>
      <c r="D81">
        <f>SUM(D71:D80)</f>
        <v>111477</v>
      </c>
      <c r="E81">
        <f>SUM(E71:E80)</f>
        <v>4336</v>
      </c>
      <c r="H81" s="8" t="s">
        <v>14</v>
      </c>
      <c r="I81">
        <f>10*(I74)</f>
        <v>173590</v>
      </c>
    </row>
    <row r="82" spans="1:9" x14ac:dyDescent="0.25">
      <c r="H82" s="8" t="s">
        <v>15</v>
      </c>
      <c r="I82">
        <f>I75*I76</f>
        <v>174134</v>
      </c>
    </row>
    <row r="83" spans="1:9" x14ac:dyDescent="0.25">
      <c r="H83" s="8" t="s">
        <v>16</v>
      </c>
      <c r="I83">
        <f>10*(I74)-I75*I76</f>
        <v>-544</v>
      </c>
    </row>
    <row r="84" spans="1:9" x14ac:dyDescent="0.25">
      <c r="H84" s="8" t="s">
        <v>17</v>
      </c>
      <c r="I84">
        <f>10*I77-(I79)</f>
        <v>14369</v>
      </c>
    </row>
    <row r="85" spans="1:9" x14ac:dyDescent="0.25">
      <c r="H85" s="8" t="s">
        <v>18</v>
      </c>
      <c r="I85">
        <f>10*I78-(I80)</f>
        <v>15804</v>
      </c>
    </row>
    <row r="86" spans="1:9" x14ac:dyDescent="0.25">
      <c r="H86" s="8"/>
      <c r="I86">
        <f>I84*I85</f>
        <v>227087676</v>
      </c>
    </row>
    <row r="87" spans="1:9" x14ac:dyDescent="0.25">
      <c r="H87" s="8" t="s">
        <v>19</v>
      </c>
      <c r="I87">
        <f>SQRT(I86)</f>
        <v>15069.42852267464</v>
      </c>
    </row>
    <row r="88" spans="1:9" x14ac:dyDescent="0.25">
      <c r="H88" s="8" t="s">
        <v>20</v>
      </c>
      <c r="I88">
        <f>I83/I87</f>
        <v>-3.6099577311870523E-2</v>
      </c>
    </row>
    <row r="89" spans="1:9" x14ac:dyDescent="0.25">
      <c r="A89" t="s">
        <v>54</v>
      </c>
    </row>
    <row r="90" spans="1:9" x14ac:dyDescent="0.25">
      <c r="B90" t="s">
        <v>51</v>
      </c>
    </row>
    <row r="91" spans="1:9" x14ac:dyDescent="0.25">
      <c r="A91" s="18" t="s">
        <v>55</v>
      </c>
      <c r="B91" s="18" t="s">
        <v>56</v>
      </c>
      <c r="C91" s="18" t="s">
        <v>57</v>
      </c>
      <c r="D91" s="18" t="s">
        <v>58</v>
      </c>
      <c r="E91" s="18" t="s">
        <v>59</v>
      </c>
      <c r="F91" s="18" t="s">
        <v>60</v>
      </c>
    </row>
    <row r="92" spans="1:9" x14ac:dyDescent="0.25">
      <c r="A92" s="1">
        <v>26</v>
      </c>
      <c r="B92" s="1">
        <v>540</v>
      </c>
      <c r="C92" s="1">
        <v>8</v>
      </c>
      <c r="D92" s="1">
        <v>8</v>
      </c>
      <c r="E92" s="1">
        <f>C92-D92</f>
        <v>0</v>
      </c>
      <c r="F92" s="1">
        <v>0</v>
      </c>
    </row>
    <row r="93" spans="1:9" x14ac:dyDescent="0.25">
      <c r="A93" s="1">
        <v>27</v>
      </c>
      <c r="B93" s="1">
        <v>555</v>
      </c>
      <c r="C93" s="1">
        <v>7</v>
      </c>
      <c r="D93" s="1">
        <v>7</v>
      </c>
      <c r="E93" s="1">
        <f t="shared" ref="E93:E97" si="12">C93-D93</f>
        <v>0</v>
      </c>
      <c r="F93" s="1">
        <v>0</v>
      </c>
      <c r="H93" s="8" t="s">
        <v>30</v>
      </c>
      <c r="I93">
        <f>F101</f>
        <v>21.5</v>
      </c>
    </row>
    <row r="94" spans="1:9" x14ac:dyDescent="0.25">
      <c r="A94" s="1">
        <v>33</v>
      </c>
      <c r="B94" s="1">
        <v>575</v>
      </c>
      <c r="C94" s="1">
        <v>3</v>
      </c>
      <c r="D94" s="1">
        <v>6</v>
      </c>
      <c r="E94" s="1">
        <f t="shared" si="12"/>
        <v>-3</v>
      </c>
      <c r="F94" s="1">
        <f>E94^2</f>
        <v>9</v>
      </c>
      <c r="H94" s="8" t="s">
        <v>13</v>
      </c>
      <c r="I94">
        <v>9</v>
      </c>
    </row>
    <row r="95" spans="1:9" x14ac:dyDescent="0.25">
      <c r="A95" s="1">
        <v>29</v>
      </c>
      <c r="B95" s="1">
        <v>577</v>
      </c>
      <c r="C95" s="1">
        <v>5.5</v>
      </c>
      <c r="D95" s="1">
        <v>5</v>
      </c>
      <c r="E95" s="1">
        <f t="shared" si="12"/>
        <v>0.5</v>
      </c>
      <c r="F95" s="1">
        <f>E95^2</f>
        <v>0.25</v>
      </c>
      <c r="H95" s="8" t="s">
        <v>31</v>
      </c>
      <c r="I95">
        <f>I94^2</f>
        <v>81</v>
      </c>
    </row>
    <row r="96" spans="1:9" x14ac:dyDescent="0.25">
      <c r="A96" s="1">
        <v>29</v>
      </c>
      <c r="B96" s="1">
        <v>606</v>
      </c>
      <c r="C96" s="1">
        <v>5.5</v>
      </c>
      <c r="D96" s="1">
        <v>4</v>
      </c>
      <c r="E96" s="1">
        <f t="shared" si="12"/>
        <v>1.5</v>
      </c>
      <c r="F96" s="1">
        <f>E96^2</f>
        <v>2.25</v>
      </c>
      <c r="H96" s="8" t="s">
        <v>32</v>
      </c>
      <c r="I96">
        <f>I95-1</f>
        <v>80</v>
      </c>
    </row>
    <row r="97" spans="1:9" x14ac:dyDescent="0.25">
      <c r="A97" s="1">
        <v>34</v>
      </c>
      <c r="B97" s="1">
        <v>661</v>
      </c>
      <c r="C97" s="1">
        <v>2</v>
      </c>
      <c r="D97" s="1">
        <v>3</v>
      </c>
      <c r="E97" s="1">
        <f t="shared" si="12"/>
        <v>-1</v>
      </c>
      <c r="F97" s="1">
        <f>E97^2</f>
        <v>1</v>
      </c>
      <c r="H97" s="8" t="s">
        <v>34</v>
      </c>
      <c r="I97">
        <f>6*I93</f>
        <v>129</v>
      </c>
    </row>
    <row r="98" spans="1:9" x14ac:dyDescent="0.25">
      <c r="A98" s="1">
        <v>30</v>
      </c>
      <c r="B98" s="1">
        <v>738</v>
      </c>
      <c r="C98" s="1">
        <v>4</v>
      </c>
      <c r="D98" s="1">
        <v>2</v>
      </c>
      <c r="E98" s="1">
        <f>C98-D99</f>
        <v>3</v>
      </c>
      <c r="F98" s="1">
        <f>E98^2</f>
        <v>9</v>
      </c>
      <c r="H98" s="8" t="s">
        <v>35</v>
      </c>
      <c r="I98">
        <f>9*(80)</f>
        <v>720</v>
      </c>
    </row>
    <row r="99" spans="1:9" x14ac:dyDescent="0.25">
      <c r="A99" s="1">
        <v>40</v>
      </c>
      <c r="B99" s="1">
        <v>804</v>
      </c>
      <c r="C99" s="1">
        <v>1</v>
      </c>
      <c r="D99" s="1">
        <v>1</v>
      </c>
      <c r="E99" s="1">
        <f>C99-D99</f>
        <v>0</v>
      </c>
      <c r="F99" s="1">
        <f>0</f>
        <v>0</v>
      </c>
      <c r="H99" s="8" t="s">
        <v>33</v>
      </c>
      <c r="I99">
        <f>1-(I97/I98)</f>
        <v>0.8208333333333333</v>
      </c>
    </row>
    <row r="100" spans="1:9" x14ac:dyDescent="0.25">
      <c r="A100" s="1">
        <v>22</v>
      </c>
      <c r="B100" s="1">
        <v>496</v>
      </c>
      <c r="C100" s="1">
        <v>9</v>
      </c>
      <c r="D100" s="1">
        <v>9</v>
      </c>
      <c r="E100" s="1">
        <f>C100-D100</f>
        <v>0</v>
      </c>
      <c r="F100" s="1">
        <v>0</v>
      </c>
    </row>
    <row r="101" spans="1:9" x14ac:dyDescent="0.25">
      <c r="F101">
        <f>SUM(F92:F100)</f>
        <v>21.5</v>
      </c>
    </row>
    <row r="104" spans="1:9" x14ac:dyDescent="0.25">
      <c r="A104" s="19" t="s">
        <v>61</v>
      </c>
      <c r="B104" s="19" t="s">
        <v>56</v>
      </c>
      <c r="C104" s="19" t="s">
        <v>62</v>
      </c>
      <c r="D104" s="19" t="s">
        <v>63</v>
      </c>
      <c r="E104" s="19" t="s">
        <v>59</v>
      </c>
      <c r="F104" s="19" t="s">
        <v>64</v>
      </c>
    </row>
    <row r="105" spans="1:9" x14ac:dyDescent="0.25">
      <c r="A105">
        <v>6</v>
      </c>
      <c r="B105">
        <v>290</v>
      </c>
      <c r="C105">
        <v>2</v>
      </c>
      <c r="D105">
        <v>9</v>
      </c>
      <c r="E105">
        <f t="shared" ref="E105:E114" si="13">C105-D105</f>
        <v>-7</v>
      </c>
      <c r="F105">
        <f t="shared" ref="F105:F114" si="14">E105^2</f>
        <v>49</v>
      </c>
    </row>
    <row r="106" spans="1:9" x14ac:dyDescent="0.25">
      <c r="A106">
        <v>6</v>
      </c>
      <c r="B106">
        <v>280</v>
      </c>
      <c r="C106">
        <v>2</v>
      </c>
      <c r="D106">
        <v>10</v>
      </c>
      <c r="E106">
        <f t="shared" si="13"/>
        <v>-8</v>
      </c>
      <c r="F106">
        <f t="shared" si="14"/>
        <v>64</v>
      </c>
      <c r="H106" s="8" t="s">
        <v>30</v>
      </c>
      <c r="I106">
        <f>F115</f>
        <v>313.5</v>
      </c>
    </row>
    <row r="107" spans="1:9" x14ac:dyDescent="0.25">
      <c r="A107">
        <v>6</v>
      </c>
      <c r="B107">
        <v>295</v>
      </c>
      <c r="C107">
        <v>2</v>
      </c>
      <c r="D107">
        <v>8</v>
      </c>
      <c r="E107">
        <f t="shared" si="13"/>
        <v>-6</v>
      </c>
      <c r="F107">
        <f t="shared" si="14"/>
        <v>36</v>
      </c>
      <c r="H107" s="8" t="s">
        <v>13</v>
      </c>
      <c r="I107">
        <v>10</v>
      </c>
    </row>
    <row r="108" spans="1:9" x14ac:dyDescent="0.25">
      <c r="A108">
        <v>2</v>
      </c>
      <c r="B108">
        <v>425</v>
      </c>
      <c r="C108">
        <v>8.5</v>
      </c>
      <c r="D108">
        <v>1.5</v>
      </c>
      <c r="E108">
        <f t="shared" si="13"/>
        <v>7</v>
      </c>
      <c r="F108">
        <f t="shared" si="14"/>
        <v>49</v>
      </c>
      <c r="H108" s="8" t="s">
        <v>31</v>
      </c>
      <c r="I108">
        <f>10^2</f>
        <v>100</v>
      </c>
    </row>
    <row r="109" spans="1:9" x14ac:dyDescent="0.25">
      <c r="A109">
        <v>2</v>
      </c>
      <c r="B109">
        <v>384</v>
      </c>
      <c r="C109">
        <v>8.5</v>
      </c>
      <c r="D109">
        <v>3</v>
      </c>
      <c r="E109">
        <f t="shared" si="13"/>
        <v>5.5</v>
      </c>
      <c r="F109">
        <f t="shared" si="14"/>
        <v>30.25</v>
      </c>
      <c r="H109" s="8" t="s">
        <v>32</v>
      </c>
      <c r="I109">
        <f>I108-1</f>
        <v>99</v>
      </c>
    </row>
    <row r="110" spans="1:9" x14ac:dyDescent="0.25">
      <c r="A110">
        <v>5</v>
      </c>
      <c r="B110">
        <v>315</v>
      </c>
      <c r="C110">
        <v>4.5</v>
      </c>
      <c r="D110">
        <v>7</v>
      </c>
      <c r="E110">
        <f t="shared" si="13"/>
        <v>-2.5</v>
      </c>
      <c r="F110">
        <f t="shared" si="14"/>
        <v>6.25</v>
      </c>
      <c r="H110" s="8" t="s">
        <v>34</v>
      </c>
      <c r="I110">
        <f>6*I106</f>
        <v>1881</v>
      </c>
    </row>
    <row r="111" spans="1:9" x14ac:dyDescent="0.25">
      <c r="A111">
        <v>4</v>
      </c>
      <c r="B111">
        <v>355</v>
      </c>
      <c r="C111">
        <v>6.5</v>
      </c>
      <c r="D111">
        <v>4</v>
      </c>
      <c r="E111">
        <f t="shared" si="13"/>
        <v>2.5</v>
      </c>
      <c r="F111">
        <f t="shared" si="14"/>
        <v>6.25</v>
      </c>
      <c r="H111" s="8" t="s">
        <v>35</v>
      </c>
      <c r="I111">
        <f>I107*(I108)</f>
        <v>1000</v>
      </c>
    </row>
    <row r="112" spans="1:9" x14ac:dyDescent="0.25">
      <c r="A112">
        <v>5</v>
      </c>
      <c r="B112">
        <v>328</v>
      </c>
      <c r="C112">
        <v>4.5</v>
      </c>
      <c r="D112">
        <v>5</v>
      </c>
      <c r="E112">
        <f t="shared" si="13"/>
        <v>-0.5</v>
      </c>
      <c r="F112">
        <f t="shared" si="14"/>
        <v>0.25</v>
      </c>
      <c r="H112" s="8" t="s">
        <v>33</v>
      </c>
      <c r="I112">
        <f>1-(I110/I111)</f>
        <v>-0.88100000000000001</v>
      </c>
    </row>
    <row r="113" spans="1:9" x14ac:dyDescent="0.25">
      <c r="A113">
        <v>1</v>
      </c>
      <c r="B113">
        <v>425</v>
      </c>
      <c r="C113">
        <v>10</v>
      </c>
      <c r="D113">
        <v>1.5</v>
      </c>
      <c r="E113">
        <f t="shared" si="13"/>
        <v>8.5</v>
      </c>
      <c r="F113">
        <f t="shared" si="14"/>
        <v>72.25</v>
      </c>
    </row>
    <row r="114" spans="1:9" x14ac:dyDescent="0.25">
      <c r="A114">
        <v>4</v>
      </c>
      <c r="B114">
        <v>325</v>
      </c>
      <c r="C114">
        <v>6.5</v>
      </c>
      <c r="D114">
        <v>6</v>
      </c>
      <c r="E114">
        <f t="shared" si="13"/>
        <v>0.5</v>
      </c>
      <c r="F114">
        <f t="shared" si="14"/>
        <v>0.25</v>
      </c>
    </row>
    <row r="115" spans="1:9" x14ac:dyDescent="0.25">
      <c r="F115">
        <f>SUM(F105:F114)</f>
        <v>313.5</v>
      </c>
    </row>
    <row r="118" spans="1:9" x14ac:dyDescent="0.25">
      <c r="A118" t="s">
        <v>65</v>
      </c>
      <c r="B118" t="s">
        <v>66</v>
      </c>
      <c r="C118" s="19" t="s">
        <v>62</v>
      </c>
      <c r="D118" s="19" t="s">
        <v>63</v>
      </c>
      <c r="E118" s="19" t="s">
        <v>59</v>
      </c>
      <c r="F118" s="19" t="s">
        <v>64</v>
      </c>
    </row>
    <row r="119" spans="1:9" x14ac:dyDescent="0.25">
      <c r="A119">
        <v>80</v>
      </c>
      <c r="B119">
        <v>5</v>
      </c>
      <c r="C119">
        <v>5</v>
      </c>
      <c r="D119">
        <v>13</v>
      </c>
      <c r="E119">
        <f>C119-D119</f>
        <v>-8</v>
      </c>
      <c r="F119">
        <f>E119^2</f>
        <v>64</v>
      </c>
    </row>
    <row r="120" spans="1:9" x14ac:dyDescent="0.25">
      <c r="A120">
        <v>78</v>
      </c>
      <c r="B120">
        <v>23</v>
      </c>
      <c r="C120">
        <v>7</v>
      </c>
      <c r="D120">
        <v>6.5</v>
      </c>
      <c r="E120">
        <f t="shared" ref="E120:E133" si="15">C120-D120</f>
        <v>0.5</v>
      </c>
      <c r="F120">
        <f t="shared" ref="F120:F133" si="16">E120^2</f>
        <v>0.25</v>
      </c>
    </row>
    <row r="121" spans="1:9" x14ac:dyDescent="0.25">
      <c r="A121">
        <v>60</v>
      </c>
      <c r="B121">
        <v>25</v>
      </c>
      <c r="C121">
        <v>13</v>
      </c>
      <c r="D121">
        <v>5</v>
      </c>
      <c r="E121">
        <f t="shared" si="15"/>
        <v>8</v>
      </c>
      <c r="F121">
        <f t="shared" si="16"/>
        <v>64</v>
      </c>
      <c r="H121" s="8" t="s">
        <v>30</v>
      </c>
      <c r="I121">
        <f>F134</f>
        <v>936</v>
      </c>
    </row>
    <row r="122" spans="1:9" x14ac:dyDescent="0.25">
      <c r="A122">
        <v>53</v>
      </c>
      <c r="B122">
        <v>48</v>
      </c>
      <c r="C122">
        <v>15</v>
      </c>
      <c r="D122">
        <v>1</v>
      </c>
      <c r="E122">
        <f t="shared" si="15"/>
        <v>14</v>
      </c>
      <c r="F122">
        <f t="shared" si="16"/>
        <v>196</v>
      </c>
      <c r="H122" s="8" t="s">
        <v>13</v>
      </c>
      <c r="I122">
        <v>15</v>
      </c>
    </row>
    <row r="123" spans="1:9" x14ac:dyDescent="0.25">
      <c r="A123">
        <v>85</v>
      </c>
      <c r="B123">
        <v>17</v>
      </c>
      <c r="C123">
        <v>2</v>
      </c>
      <c r="D123">
        <v>9</v>
      </c>
      <c r="E123">
        <f t="shared" si="15"/>
        <v>-7</v>
      </c>
      <c r="F123">
        <f t="shared" si="16"/>
        <v>49</v>
      </c>
      <c r="H123" s="8" t="s">
        <v>31</v>
      </c>
      <c r="I123">
        <f>15^2</f>
        <v>225</v>
      </c>
    </row>
    <row r="124" spans="1:9" x14ac:dyDescent="0.25">
      <c r="A124">
        <v>84</v>
      </c>
      <c r="B124">
        <v>8</v>
      </c>
      <c r="C124">
        <v>3</v>
      </c>
      <c r="D124">
        <v>12</v>
      </c>
      <c r="E124">
        <f t="shared" si="15"/>
        <v>-9</v>
      </c>
      <c r="F124">
        <f t="shared" si="16"/>
        <v>81</v>
      </c>
      <c r="H124" s="8" t="s">
        <v>32</v>
      </c>
      <c r="I124">
        <f>(15)^2-1</f>
        <v>224</v>
      </c>
    </row>
    <row r="125" spans="1:9" x14ac:dyDescent="0.25">
      <c r="A125">
        <v>73</v>
      </c>
      <c r="B125">
        <v>4</v>
      </c>
      <c r="C125">
        <v>9</v>
      </c>
      <c r="D125">
        <v>14.5</v>
      </c>
      <c r="E125">
        <f t="shared" si="15"/>
        <v>-5.5</v>
      </c>
      <c r="F125">
        <f t="shared" si="16"/>
        <v>30.25</v>
      </c>
      <c r="H125" s="8" t="s">
        <v>34</v>
      </c>
      <c r="I125">
        <f>6*I121</f>
        <v>5616</v>
      </c>
    </row>
    <row r="126" spans="1:9" x14ac:dyDescent="0.25">
      <c r="A126">
        <v>79</v>
      </c>
      <c r="B126">
        <v>26</v>
      </c>
      <c r="C126">
        <v>6</v>
      </c>
      <c r="D126">
        <v>4</v>
      </c>
      <c r="E126">
        <f t="shared" si="15"/>
        <v>2</v>
      </c>
      <c r="F126">
        <f t="shared" si="16"/>
        <v>4</v>
      </c>
      <c r="H126" s="8" t="s">
        <v>35</v>
      </c>
      <c r="I126">
        <f>15*I124</f>
        <v>3360</v>
      </c>
    </row>
    <row r="127" spans="1:9" x14ac:dyDescent="0.25">
      <c r="A127">
        <v>81</v>
      </c>
      <c r="B127">
        <v>11</v>
      </c>
      <c r="C127">
        <v>4</v>
      </c>
      <c r="D127">
        <v>11</v>
      </c>
      <c r="E127">
        <f t="shared" si="15"/>
        <v>-7</v>
      </c>
      <c r="F127">
        <f t="shared" si="16"/>
        <v>49</v>
      </c>
      <c r="H127" s="8" t="s">
        <v>33</v>
      </c>
      <c r="I127">
        <f>1-I125/I126</f>
        <v>-0.67142857142857149</v>
      </c>
    </row>
    <row r="128" spans="1:9" x14ac:dyDescent="0.25">
      <c r="A128">
        <v>75</v>
      </c>
      <c r="B128">
        <v>19</v>
      </c>
      <c r="C128">
        <v>8</v>
      </c>
      <c r="D128">
        <v>8</v>
      </c>
      <c r="E128">
        <f t="shared" si="15"/>
        <v>0</v>
      </c>
      <c r="F128">
        <f t="shared" si="16"/>
        <v>0</v>
      </c>
    </row>
    <row r="129" spans="1:9" x14ac:dyDescent="0.25">
      <c r="A129">
        <v>68</v>
      </c>
      <c r="B129">
        <v>14</v>
      </c>
      <c r="C129">
        <v>11</v>
      </c>
      <c r="D129">
        <v>10</v>
      </c>
      <c r="E129">
        <f t="shared" si="15"/>
        <v>1</v>
      </c>
      <c r="F129">
        <f t="shared" si="16"/>
        <v>1</v>
      </c>
    </row>
    <row r="130" spans="1:9" x14ac:dyDescent="0.25">
      <c r="A130">
        <v>72</v>
      </c>
      <c r="B130">
        <v>35</v>
      </c>
      <c r="C130">
        <v>10</v>
      </c>
      <c r="D130">
        <v>2</v>
      </c>
      <c r="E130">
        <f t="shared" si="15"/>
        <v>8</v>
      </c>
      <c r="F130">
        <f t="shared" si="16"/>
        <v>64</v>
      </c>
    </row>
    <row r="131" spans="1:9" x14ac:dyDescent="0.25">
      <c r="A131">
        <v>58</v>
      </c>
      <c r="B131">
        <v>29</v>
      </c>
      <c r="C131">
        <v>14</v>
      </c>
      <c r="D131">
        <v>3</v>
      </c>
      <c r="E131">
        <f t="shared" si="15"/>
        <v>11</v>
      </c>
      <c r="F131">
        <f t="shared" si="16"/>
        <v>121</v>
      </c>
    </row>
    <row r="132" spans="1:9" x14ac:dyDescent="0.25">
      <c r="A132">
        <v>92</v>
      </c>
      <c r="B132">
        <v>4</v>
      </c>
      <c r="C132">
        <v>1</v>
      </c>
      <c r="D132">
        <v>14.5</v>
      </c>
      <c r="E132">
        <f t="shared" si="15"/>
        <v>-13.5</v>
      </c>
      <c r="F132">
        <f t="shared" si="16"/>
        <v>182.25</v>
      </c>
    </row>
    <row r="133" spans="1:9" x14ac:dyDescent="0.25">
      <c r="A133">
        <v>65</v>
      </c>
      <c r="B133">
        <v>23</v>
      </c>
      <c r="C133">
        <v>12</v>
      </c>
      <c r="D133">
        <v>6.5</v>
      </c>
      <c r="E133">
        <f t="shared" si="15"/>
        <v>5.5</v>
      </c>
      <c r="F133">
        <f t="shared" si="16"/>
        <v>30.25</v>
      </c>
    </row>
    <row r="134" spans="1:9" x14ac:dyDescent="0.25">
      <c r="A134">
        <f>SUM(A119:A133)</f>
        <v>1103</v>
      </c>
      <c r="B134">
        <f>SUM(B119:B133)</f>
        <v>291</v>
      </c>
      <c r="F134">
        <f>SUM(F119:F133)</f>
        <v>936</v>
      </c>
    </row>
    <row r="135" spans="1:9" x14ac:dyDescent="0.25">
      <c r="A135">
        <f>A134/15</f>
        <v>73.533333333333331</v>
      </c>
      <c r="B135">
        <f>291/15</f>
        <v>19.399999999999999</v>
      </c>
    </row>
    <row r="138" spans="1:9" x14ac:dyDescent="0.25">
      <c r="H138" s="8" t="s">
        <v>30</v>
      </c>
      <c r="I138">
        <f>F151</f>
        <v>81</v>
      </c>
    </row>
    <row r="139" spans="1:9" x14ac:dyDescent="0.25">
      <c r="A139" s="11" t="s">
        <v>68</v>
      </c>
      <c r="B139" s="11" t="s">
        <v>69</v>
      </c>
      <c r="C139" s="11" t="s">
        <v>67</v>
      </c>
      <c r="D139" s="11" t="s">
        <v>70</v>
      </c>
      <c r="E139" s="20" t="s">
        <v>59</v>
      </c>
      <c r="F139" s="20" t="s">
        <v>64</v>
      </c>
      <c r="H139" s="8" t="s">
        <v>13</v>
      </c>
      <c r="I139">
        <v>11</v>
      </c>
    </row>
    <row r="140" spans="1:9" x14ac:dyDescent="0.25">
      <c r="A140">
        <v>35</v>
      </c>
      <c r="B140">
        <v>26</v>
      </c>
      <c r="C140">
        <v>3</v>
      </c>
      <c r="D140">
        <v>3.5</v>
      </c>
      <c r="E140">
        <f>C140-D140</f>
        <v>-0.5</v>
      </c>
      <c r="F140">
        <f>E140^2</f>
        <v>0.25</v>
      </c>
      <c r="H140" s="8" t="s">
        <v>31</v>
      </c>
      <c r="I140">
        <f>I139^2</f>
        <v>121</v>
      </c>
    </row>
    <row r="141" spans="1:9" x14ac:dyDescent="0.25">
      <c r="A141">
        <v>26</v>
      </c>
      <c r="B141">
        <v>22</v>
      </c>
      <c r="C141">
        <v>1</v>
      </c>
      <c r="D141">
        <v>1.5</v>
      </c>
      <c r="E141">
        <f t="shared" ref="E141:E150" si="17">C141-D141</f>
        <v>-0.5</v>
      </c>
      <c r="F141">
        <f t="shared" ref="F141:F150" si="18">E141^2</f>
        <v>0.25</v>
      </c>
      <c r="H141" s="8" t="s">
        <v>32</v>
      </c>
      <c r="I141">
        <f>I140-1</f>
        <v>120</v>
      </c>
    </row>
    <row r="142" spans="1:9" x14ac:dyDescent="0.25">
      <c r="A142">
        <v>41</v>
      </c>
      <c r="B142">
        <v>32</v>
      </c>
      <c r="C142">
        <v>5</v>
      </c>
      <c r="D142">
        <v>10.5</v>
      </c>
      <c r="E142">
        <f t="shared" si="17"/>
        <v>-5.5</v>
      </c>
      <c r="F142">
        <f t="shared" si="18"/>
        <v>30.25</v>
      </c>
      <c r="H142" s="8" t="s">
        <v>34</v>
      </c>
      <c r="I142">
        <f>6*I138</f>
        <v>486</v>
      </c>
    </row>
    <row r="143" spans="1:9" x14ac:dyDescent="0.25">
      <c r="A143">
        <v>66</v>
      </c>
      <c r="B143">
        <v>28</v>
      </c>
      <c r="C143">
        <v>11</v>
      </c>
      <c r="D143">
        <v>6</v>
      </c>
      <c r="E143">
        <f t="shared" si="17"/>
        <v>5</v>
      </c>
      <c r="F143">
        <f t="shared" si="18"/>
        <v>25</v>
      </c>
      <c r="H143" s="8" t="s">
        <v>35</v>
      </c>
      <c r="I143">
        <f>I139*I141</f>
        <v>1320</v>
      </c>
    </row>
    <row r="144" spans="1:9" x14ac:dyDescent="0.25">
      <c r="A144">
        <v>53</v>
      </c>
      <c r="B144">
        <v>31</v>
      </c>
      <c r="C144">
        <v>8</v>
      </c>
      <c r="D144">
        <v>9</v>
      </c>
      <c r="E144">
        <f t="shared" si="17"/>
        <v>-1</v>
      </c>
      <c r="F144">
        <f t="shared" si="18"/>
        <v>1</v>
      </c>
      <c r="H144" s="8" t="s">
        <v>33</v>
      </c>
      <c r="I144">
        <f>1-I142/I143</f>
        <v>0.63181818181818183</v>
      </c>
    </row>
    <row r="145" spans="1:9" x14ac:dyDescent="0.25">
      <c r="A145">
        <v>48</v>
      </c>
      <c r="B145">
        <v>26</v>
      </c>
      <c r="C145">
        <v>7</v>
      </c>
      <c r="D145">
        <v>3.5</v>
      </c>
      <c r="E145">
        <f t="shared" si="17"/>
        <v>3.5</v>
      </c>
      <c r="F145">
        <f t="shared" si="18"/>
        <v>12.25</v>
      </c>
    </row>
    <row r="146" spans="1:9" x14ac:dyDescent="0.25">
      <c r="A146">
        <v>60</v>
      </c>
      <c r="B146">
        <v>30</v>
      </c>
      <c r="C146">
        <v>10</v>
      </c>
      <c r="D146">
        <v>7.5</v>
      </c>
      <c r="E146">
        <f t="shared" si="17"/>
        <v>2.5</v>
      </c>
      <c r="F146">
        <f t="shared" si="18"/>
        <v>6.25</v>
      </c>
    </row>
    <row r="147" spans="1:9" x14ac:dyDescent="0.25">
      <c r="A147">
        <v>46</v>
      </c>
      <c r="B147">
        <v>30</v>
      </c>
      <c r="C147">
        <v>6</v>
      </c>
      <c r="D147">
        <v>7.5</v>
      </c>
      <c r="E147">
        <f t="shared" si="17"/>
        <v>-1.5</v>
      </c>
      <c r="F147">
        <f t="shared" si="18"/>
        <v>2.25</v>
      </c>
    </row>
    <row r="148" spans="1:9" x14ac:dyDescent="0.25">
      <c r="A148">
        <v>30</v>
      </c>
      <c r="B148">
        <v>22</v>
      </c>
      <c r="C148">
        <v>2</v>
      </c>
      <c r="D148">
        <v>1.5</v>
      </c>
      <c r="E148">
        <f t="shared" si="17"/>
        <v>0.5</v>
      </c>
      <c r="F148">
        <f t="shared" si="18"/>
        <v>0.25</v>
      </c>
    </row>
    <row r="149" spans="1:9" x14ac:dyDescent="0.25">
      <c r="A149">
        <v>36</v>
      </c>
      <c r="B149">
        <v>27</v>
      </c>
      <c r="C149">
        <v>4</v>
      </c>
      <c r="D149">
        <v>5</v>
      </c>
      <c r="E149">
        <f t="shared" si="17"/>
        <v>-1</v>
      </c>
      <c r="F149">
        <f t="shared" si="18"/>
        <v>1</v>
      </c>
    </row>
    <row r="150" spans="1:9" x14ac:dyDescent="0.25">
      <c r="A150">
        <v>58</v>
      </c>
      <c r="B150">
        <v>32</v>
      </c>
      <c r="C150">
        <v>9</v>
      </c>
      <c r="D150">
        <v>10.5</v>
      </c>
      <c r="E150">
        <f t="shared" si="17"/>
        <v>-1.5</v>
      </c>
      <c r="F150">
        <f t="shared" si="18"/>
        <v>2.25</v>
      </c>
    </row>
    <row r="151" spans="1:9" x14ac:dyDescent="0.25">
      <c r="A151">
        <f>SUM(A140:A150)</f>
        <v>499</v>
      </c>
      <c r="B151">
        <f>SUM(B140:B150)</f>
        <v>306</v>
      </c>
      <c r="F151">
        <f>SUM(F140:F150)</f>
        <v>81</v>
      </c>
    </row>
    <row r="152" spans="1:9" x14ac:dyDescent="0.25">
      <c r="A152">
        <f>A151/11</f>
        <v>45.363636363636367</v>
      </c>
      <c r="B152">
        <f>B151/11</f>
        <v>27.818181818181817</v>
      </c>
    </row>
    <row r="156" spans="1:9" x14ac:dyDescent="0.25">
      <c r="A156" s="11" t="s">
        <v>71</v>
      </c>
      <c r="B156" s="11" t="s">
        <v>72</v>
      </c>
      <c r="C156" s="11" t="s">
        <v>73</v>
      </c>
      <c r="D156" s="11" t="s">
        <v>58</v>
      </c>
      <c r="E156" s="20" t="s">
        <v>59</v>
      </c>
      <c r="F156" s="20" t="s">
        <v>64</v>
      </c>
    </row>
    <row r="157" spans="1:9" x14ac:dyDescent="0.25">
      <c r="A157">
        <v>5</v>
      </c>
      <c r="B157">
        <v>5</v>
      </c>
      <c r="C157">
        <v>7</v>
      </c>
      <c r="D157">
        <v>6</v>
      </c>
      <c r="E157">
        <f>C157-D157</f>
        <v>1</v>
      </c>
      <c r="F157">
        <f>E157^2</f>
        <v>1</v>
      </c>
      <c r="H157" s="11" t="s">
        <v>30</v>
      </c>
      <c r="I157" s="11">
        <f>F167</f>
        <v>309</v>
      </c>
    </row>
    <row r="158" spans="1:9" x14ac:dyDescent="0.25">
      <c r="A158">
        <v>10</v>
      </c>
      <c r="B158">
        <v>2</v>
      </c>
      <c r="C158">
        <v>2</v>
      </c>
      <c r="D158">
        <v>10</v>
      </c>
      <c r="E158">
        <f t="shared" ref="E158:E166" si="19">C158-D158</f>
        <v>-8</v>
      </c>
      <c r="F158">
        <f t="shared" ref="F158:F166" si="20">E158^2</f>
        <v>64</v>
      </c>
      <c r="H158" s="11" t="s">
        <v>13</v>
      </c>
      <c r="I158" s="11">
        <f>10</f>
        <v>10</v>
      </c>
    </row>
    <row r="159" spans="1:9" x14ac:dyDescent="0.25">
      <c r="A159">
        <v>4</v>
      </c>
      <c r="B159">
        <v>8</v>
      </c>
      <c r="C159">
        <v>8</v>
      </c>
      <c r="D159">
        <v>2.5</v>
      </c>
      <c r="E159">
        <f t="shared" si="19"/>
        <v>5.5</v>
      </c>
      <c r="F159">
        <f t="shared" si="20"/>
        <v>30.25</v>
      </c>
      <c r="H159" s="11" t="s">
        <v>31</v>
      </c>
      <c r="I159" s="11">
        <f>I158^2</f>
        <v>100</v>
      </c>
    </row>
    <row r="160" spans="1:9" x14ac:dyDescent="0.25">
      <c r="A160">
        <v>8</v>
      </c>
      <c r="B160">
        <v>3</v>
      </c>
      <c r="C160">
        <v>4</v>
      </c>
      <c r="D160">
        <v>8.5</v>
      </c>
      <c r="E160">
        <f t="shared" si="19"/>
        <v>-4.5</v>
      </c>
      <c r="F160">
        <f t="shared" si="20"/>
        <v>20.25</v>
      </c>
      <c r="H160" s="11" t="s">
        <v>32</v>
      </c>
      <c r="I160" s="11">
        <f>I159-1</f>
        <v>99</v>
      </c>
    </row>
    <row r="161" spans="1:9" x14ac:dyDescent="0.25">
      <c r="A161">
        <v>2</v>
      </c>
      <c r="B161">
        <v>8</v>
      </c>
      <c r="C161">
        <v>9</v>
      </c>
      <c r="D161">
        <v>2.5</v>
      </c>
      <c r="E161">
        <f t="shared" si="19"/>
        <v>6.5</v>
      </c>
      <c r="F161">
        <f t="shared" si="20"/>
        <v>42.25</v>
      </c>
      <c r="H161" s="11" t="s">
        <v>34</v>
      </c>
      <c r="I161" s="11">
        <f>6*I157</f>
        <v>1854</v>
      </c>
    </row>
    <row r="162" spans="1:9" x14ac:dyDescent="0.25">
      <c r="A162">
        <v>7</v>
      </c>
      <c r="B162">
        <v>5</v>
      </c>
      <c r="C162">
        <v>5</v>
      </c>
      <c r="D162">
        <v>6</v>
      </c>
      <c r="E162">
        <f t="shared" si="19"/>
        <v>-1</v>
      </c>
      <c r="F162">
        <f t="shared" si="20"/>
        <v>1</v>
      </c>
      <c r="H162" s="11" t="s">
        <v>35</v>
      </c>
      <c r="I162" s="11">
        <f>I158*I160</f>
        <v>990</v>
      </c>
    </row>
    <row r="163" spans="1:9" x14ac:dyDescent="0.25">
      <c r="A163">
        <v>9</v>
      </c>
      <c r="B163">
        <v>5</v>
      </c>
      <c r="C163">
        <v>3</v>
      </c>
      <c r="D163">
        <v>6</v>
      </c>
      <c r="E163">
        <f t="shared" si="19"/>
        <v>-3</v>
      </c>
      <c r="F163">
        <f t="shared" si="20"/>
        <v>9</v>
      </c>
      <c r="H163" s="11" t="s">
        <v>33</v>
      </c>
      <c r="I163" s="11">
        <f>1-I161/I162</f>
        <v>-0.8727272727272728</v>
      </c>
    </row>
    <row r="164" spans="1:9" x14ac:dyDescent="0.25">
      <c r="A164">
        <v>6</v>
      </c>
      <c r="B164">
        <v>7</v>
      </c>
      <c r="C164">
        <v>6</v>
      </c>
      <c r="D164">
        <v>4</v>
      </c>
      <c r="E164">
        <f t="shared" si="19"/>
        <v>2</v>
      </c>
      <c r="F164">
        <f t="shared" si="20"/>
        <v>4</v>
      </c>
      <c r="H164" s="11"/>
      <c r="I164" s="11"/>
    </row>
    <row r="165" spans="1:9" x14ac:dyDescent="0.25">
      <c r="A165">
        <v>1</v>
      </c>
      <c r="B165">
        <v>10</v>
      </c>
      <c r="C165">
        <v>10</v>
      </c>
      <c r="D165">
        <v>1</v>
      </c>
      <c r="E165">
        <f t="shared" si="19"/>
        <v>9</v>
      </c>
      <c r="F165">
        <f t="shared" si="20"/>
        <v>81</v>
      </c>
    </row>
    <row r="166" spans="1:9" x14ac:dyDescent="0.25">
      <c r="A166">
        <v>12</v>
      </c>
      <c r="B166">
        <v>3</v>
      </c>
      <c r="C166">
        <v>1</v>
      </c>
      <c r="D166">
        <v>8.5</v>
      </c>
      <c r="E166">
        <f t="shared" si="19"/>
        <v>-7.5</v>
      </c>
      <c r="F166">
        <f t="shared" si="20"/>
        <v>56.25</v>
      </c>
    </row>
    <row r="167" spans="1:9" x14ac:dyDescent="0.25">
      <c r="F167">
        <f>SUM(F157:F166)</f>
        <v>309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919995425520</dc:creator>
  <cp:lastModifiedBy>919995425520</cp:lastModifiedBy>
  <dcterms:created xsi:type="dcterms:W3CDTF">2022-01-19T08:50:58Z</dcterms:created>
  <dcterms:modified xsi:type="dcterms:W3CDTF">2022-01-31T11:09:30Z</dcterms:modified>
</cp:coreProperties>
</file>