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09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T63" i="1" l="1"/>
  <c r="O57" i="1"/>
  <c r="O52" i="1"/>
  <c r="O53" i="1"/>
  <c r="O54" i="1"/>
  <c r="O55" i="1"/>
  <c r="O56" i="1"/>
  <c r="O51" i="1"/>
  <c r="C53" i="1"/>
  <c r="N51" i="1"/>
  <c r="N45" i="1"/>
  <c r="V48" i="1"/>
  <c r="P39" i="1"/>
  <c r="T48" i="1"/>
  <c r="N39" i="1"/>
  <c r="T47" i="1"/>
  <c r="H46" i="1"/>
  <c r="H42" i="1"/>
  <c r="H43" i="1"/>
  <c r="H44" i="1"/>
  <c r="H45" i="1"/>
  <c r="H41" i="1"/>
  <c r="U26" i="1"/>
  <c r="U27" i="1"/>
  <c r="R28" i="1"/>
  <c r="P28" i="1"/>
  <c r="H30" i="1"/>
  <c r="H31" i="1"/>
  <c r="H32" i="1"/>
  <c r="H33" i="1"/>
  <c r="H34" i="1"/>
  <c r="H29" i="1"/>
  <c r="H35" i="1" s="1"/>
  <c r="U28" i="1" s="1"/>
  <c r="K105" i="1" l="1"/>
  <c r="K104" i="1"/>
  <c r="K103" i="1"/>
  <c r="K69" i="1"/>
  <c r="K102" i="1"/>
  <c r="K101" i="1"/>
  <c r="K100" i="1"/>
  <c r="K99" i="1"/>
  <c r="J100" i="1"/>
  <c r="J66" i="1"/>
  <c r="K66" i="1"/>
  <c r="J101" i="1"/>
  <c r="J99" i="1"/>
  <c r="J65" i="1"/>
  <c r="J98" i="1"/>
  <c r="B139" i="1"/>
  <c r="A138" i="1"/>
  <c r="T54" i="1"/>
  <c r="K72" i="1"/>
  <c r="K71" i="1"/>
  <c r="K70" i="1"/>
  <c r="B94" i="1"/>
  <c r="K68" i="1" l="1"/>
  <c r="K67" i="1"/>
  <c r="K65" i="1"/>
  <c r="J67" i="1"/>
  <c r="A93" i="1"/>
  <c r="M52" i="1" l="1"/>
  <c r="M53" i="1"/>
  <c r="M54" i="1"/>
  <c r="M55" i="1"/>
  <c r="M56" i="1"/>
  <c r="M51" i="1"/>
  <c r="L56" i="1"/>
  <c r="L55" i="1"/>
  <c r="L54" i="1"/>
  <c r="L53" i="1"/>
  <c r="L52" i="1"/>
  <c r="L51" i="1"/>
  <c r="Q60" i="1"/>
  <c r="Q59" i="1"/>
  <c r="Q58" i="1"/>
  <c r="R54" i="1"/>
  <c r="R53" i="1"/>
  <c r="R52" i="1"/>
  <c r="J57" i="1"/>
  <c r="K57" i="1"/>
  <c r="T59" i="1" l="1"/>
  <c r="T61" i="1" s="1"/>
  <c r="T58" i="1"/>
  <c r="G54" i="1"/>
  <c r="F56" i="1"/>
  <c r="G56" i="1" s="1"/>
  <c r="F55" i="1"/>
  <c r="G55" i="1" s="1"/>
  <c r="F54" i="1"/>
  <c r="F53" i="1"/>
  <c r="G53" i="1" s="1"/>
  <c r="F52" i="1"/>
  <c r="G52" i="1" s="1"/>
  <c r="F51" i="1"/>
  <c r="G51" i="1" s="1"/>
  <c r="G57" i="1" s="1"/>
  <c r="T56" i="1" s="1"/>
  <c r="T60" i="1" s="1"/>
  <c r="T62" i="1" s="1"/>
  <c r="T52" i="1" l="1"/>
  <c r="B57" i="1"/>
  <c r="T50" i="1" s="1"/>
  <c r="A57" i="1"/>
  <c r="T51" i="1" s="1"/>
  <c r="C55" i="1" s="1"/>
  <c r="T44" i="1"/>
  <c r="T43" i="1"/>
  <c r="C42" i="1"/>
  <c r="D42" i="1" s="1"/>
  <c r="C45" i="1"/>
  <c r="D45" i="1" s="1"/>
  <c r="C44" i="1"/>
  <c r="D44" i="1" s="1"/>
  <c r="C43" i="1"/>
  <c r="C41" i="1"/>
  <c r="D41" i="1" s="1"/>
  <c r="D43" i="1"/>
  <c r="B46" i="1"/>
  <c r="U34" i="1"/>
  <c r="U33" i="1"/>
  <c r="C34" i="1"/>
  <c r="D33" i="1"/>
  <c r="D31" i="1"/>
  <c r="D29" i="1"/>
  <c r="C33" i="1"/>
  <c r="C32" i="1"/>
  <c r="D32" i="1" s="1"/>
  <c r="C31" i="1"/>
  <c r="C30" i="1"/>
  <c r="D30" i="1" s="1"/>
  <c r="C29" i="1"/>
  <c r="M15" i="1"/>
  <c r="M14" i="1"/>
  <c r="G18" i="1"/>
  <c r="G19" i="1" s="1"/>
  <c r="G17" i="1"/>
  <c r="E21" i="1"/>
  <c r="F17" i="1" s="1"/>
  <c r="E20" i="1"/>
  <c r="C20" i="1"/>
  <c r="T17" i="1"/>
  <c r="C54" i="1" l="1"/>
  <c r="F19" i="1"/>
  <c r="D34" i="1"/>
  <c r="D35" i="1" s="1"/>
  <c r="D36" i="1" s="1"/>
  <c r="C51" i="1"/>
  <c r="H56" i="1"/>
  <c r="H52" i="1"/>
  <c r="H55" i="1"/>
  <c r="H51" i="1"/>
  <c r="H54" i="1"/>
  <c r="H53" i="1"/>
  <c r="C52" i="1"/>
  <c r="C56" i="1"/>
  <c r="F18" i="1"/>
  <c r="J14" i="1"/>
  <c r="F16" i="1"/>
  <c r="F20" i="1" s="1"/>
  <c r="J15" i="1" s="1"/>
  <c r="J16" i="1" s="1"/>
  <c r="J17" i="1" s="1"/>
  <c r="I56" i="1"/>
  <c r="I52" i="1"/>
  <c r="I55" i="1"/>
  <c r="I51" i="1"/>
  <c r="I54" i="1"/>
  <c r="I53" i="1"/>
  <c r="C57" i="1"/>
  <c r="T53" i="1" s="1"/>
  <c r="T55" i="1" s="1"/>
  <c r="D46" i="1"/>
  <c r="E30" i="1" l="1"/>
  <c r="E29" i="1"/>
  <c r="E33" i="1"/>
  <c r="E31" i="1"/>
  <c r="E32" i="1"/>
  <c r="E34" i="1"/>
  <c r="J55" i="1"/>
  <c r="K55" i="1"/>
  <c r="J53" i="1"/>
  <c r="K53" i="1"/>
  <c r="K52" i="1"/>
  <c r="J52" i="1"/>
  <c r="J54" i="1"/>
  <c r="K54" i="1"/>
  <c r="K56" i="1"/>
  <c r="J56" i="1"/>
  <c r="T39" i="1"/>
  <c r="K51" i="1"/>
  <c r="J51" i="1"/>
  <c r="E35" i="1" l="1"/>
  <c r="U30" i="1" s="1"/>
  <c r="U31" i="1" s="1"/>
  <c r="U32" i="1" s="1"/>
  <c r="E42" i="1"/>
  <c r="E45" i="1"/>
  <c r="E43" i="1"/>
  <c r="E41" i="1"/>
  <c r="E44" i="1"/>
  <c r="T10" i="1"/>
  <c r="F4" i="1"/>
  <c r="F5" i="1" s="1"/>
  <c r="F6" i="1" s="1"/>
  <c r="F3" i="1"/>
  <c r="V2" i="1"/>
  <c r="E46" i="1" l="1"/>
  <c r="T40" i="1" l="1"/>
  <c r="T41" i="1" s="1"/>
  <c r="T42" i="1" s="1"/>
  <c r="D11" i="1" l="1"/>
  <c r="B11" i="1"/>
  <c r="D12" i="1" l="1"/>
  <c r="E8" i="1" s="1"/>
  <c r="E3" i="1"/>
  <c r="E7" i="1"/>
  <c r="E5" i="1"/>
  <c r="E9" i="1"/>
  <c r="E2" i="1"/>
  <c r="E10" i="1"/>
  <c r="E4" i="1"/>
  <c r="E6" i="1" l="1"/>
  <c r="E12" i="1"/>
  <c r="T2" i="1" s="1"/>
  <c r="T3" i="1" s="1"/>
  <c r="T4" i="1" s="1"/>
</calcChain>
</file>

<file path=xl/sharedStrings.xml><?xml version="1.0" encoding="utf-8"?>
<sst xmlns="http://schemas.openxmlformats.org/spreadsheetml/2006/main" count="200" uniqueCount="116">
  <si>
    <t>weights</t>
  </si>
  <si>
    <t xml:space="preserve">    No.of stu F  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</si>
  <si>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</si>
  <si>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</si>
  <si>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</si>
  <si>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</si>
  <si>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</si>
  <si>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</si>
  <si>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</si>
  <si>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</si>
  <si>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</si>
  <si>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 xml:space="preserve">  xm</t>
  </si>
  <si>
    <t xml:space="preserve">   fxm</t>
  </si>
  <si>
    <t xml:space="preserve"> x-mean</t>
  </si>
  <si>
    <t>total(x-mean)^2</t>
  </si>
  <si>
    <t>sd</t>
  </si>
  <si>
    <t>variance</t>
  </si>
  <si>
    <t xml:space="preserve">  total(x-mean)^2</t>
  </si>
  <si>
    <t xml:space="preserve">    cf</t>
  </si>
  <si>
    <t>median</t>
  </si>
  <si>
    <t>l</t>
  </si>
  <si>
    <t>n</t>
  </si>
  <si>
    <t>h</t>
  </si>
  <si>
    <t>f</t>
  </si>
  <si>
    <t>n/2</t>
  </si>
  <si>
    <t>mode</t>
  </si>
  <si>
    <t>f0</t>
  </si>
  <si>
    <t>f1</t>
  </si>
  <si>
    <t>f2</t>
  </si>
  <si>
    <t>No.of pets</t>
  </si>
  <si>
    <t>Frequency</t>
  </si>
  <si>
    <r>
      <t xml:space="preserve">        </t>
    </r>
    <r>
      <rPr>
        <b/>
        <sz val="11"/>
        <color theme="1"/>
        <rFont val="Calibri"/>
        <family val="2"/>
        <scheme val="minor"/>
      </rPr>
      <t xml:space="preserve"> xm</t>
    </r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</si>
  <si>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   fxm</t>
    </r>
  </si>
  <si>
    <r>
      <t xml:space="preserve">  </t>
    </r>
    <r>
      <rPr>
        <b/>
        <sz val="11"/>
        <color theme="1"/>
        <rFont val="Calibri"/>
        <family val="2"/>
        <scheme val="minor"/>
      </rPr>
      <t xml:space="preserve"> x-mean</t>
    </r>
  </si>
  <si>
    <t>1-2</t>
  </si>
  <si>
    <t>3-4</t>
  </si>
  <si>
    <t>5-6</t>
  </si>
  <si>
    <t>7-8</t>
  </si>
  <si>
    <t>Total</t>
  </si>
  <si>
    <t>Mean</t>
  </si>
  <si>
    <t xml:space="preserve">  cf</t>
  </si>
  <si>
    <t>mean</t>
  </si>
  <si>
    <t>cf</t>
  </si>
  <si>
    <t>score</t>
  </si>
  <si>
    <t xml:space="preserve">         f</t>
  </si>
  <si>
    <t>5-9</t>
  </si>
  <si>
    <t>10-14</t>
  </si>
  <si>
    <t>15-19</t>
  </si>
  <si>
    <t>20-24</t>
  </si>
  <si>
    <t>25-29</t>
  </si>
  <si>
    <t>30-34</t>
  </si>
  <si>
    <t>1</t>
  </si>
  <si>
    <t>4</t>
  </si>
  <si>
    <t>6</t>
  </si>
  <si>
    <t>2</t>
  </si>
  <si>
    <t>3</t>
  </si>
  <si>
    <t xml:space="preserve">      xm</t>
  </si>
  <si>
    <t xml:space="preserve">    fxm</t>
  </si>
  <si>
    <t xml:space="preserve">    x-mean</t>
  </si>
  <si>
    <t>total</t>
  </si>
  <si>
    <t xml:space="preserve">     earing x</t>
  </si>
  <si>
    <t xml:space="preserve">      f</t>
  </si>
  <si>
    <t>=D36</t>
  </si>
  <si>
    <t>0-9</t>
  </si>
  <si>
    <t>10-19</t>
  </si>
  <si>
    <t>20-29</t>
  </si>
  <si>
    <t>30-39</t>
  </si>
  <si>
    <t>40-49</t>
  </si>
  <si>
    <t xml:space="preserve">  numbe x</t>
  </si>
  <si>
    <t xml:space="preserve">    no . F</t>
  </si>
  <si>
    <t xml:space="preserve">      x-mean</t>
  </si>
  <si>
    <t xml:space="preserve">      rx</t>
  </si>
  <si>
    <t xml:space="preserve">     ry</t>
  </si>
  <si>
    <t xml:space="preserve">    d=rx-ry</t>
  </si>
  <si>
    <t xml:space="preserve">   d^2</t>
  </si>
  <si>
    <t>total d^2</t>
  </si>
  <si>
    <t>n^2</t>
  </si>
  <si>
    <t>n^2-1</t>
  </si>
  <si>
    <t>6*d^2</t>
  </si>
  <si>
    <t>n(n^2-1)</t>
  </si>
  <si>
    <t>rs</t>
  </si>
  <si>
    <t xml:space="preserve">    (Yi-Y^)^2</t>
  </si>
  <si>
    <t xml:space="preserve">            Y^</t>
  </si>
  <si>
    <t xml:space="preserve">   (  xi-x)(yi-y)</t>
  </si>
  <si>
    <t xml:space="preserve">   (xi-x)^2</t>
  </si>
  <si>
    <t xml:space="preserve">  Yi-y</t>
  </si>
  <si>
    <t xml:space="preserve">  Xi-x</t>
  </si>
  <si>
    <t>mean x</t>
  </si>
  <si>
    <t>mean y</t>
  </si>
  <si>
    <t>b1</t>
  </si>
  <si>
    <t>total (xi-x)^2</t>
  </si>
  <si>
    <t>total (xi-x)(yi-y)</t>
  </si>
  <si>
    <t>slop b1</t>
  </si>
  <si>
    <t>intercept</t>
  </si>
  <si>
    <t>b0</t>
  </si>
  <si>
    <t xml:space="preserve">Mean </t>
  </si>
  <si>
    <t>Q1</t>
  </si>
  <si>
    <t xml:space="preserve"> Q1 obe</t>
  </si>
  <si>
    <t>Q2 obe</t>
  </si>
  <si>
    <t>Q3</t>
  </si>
  <si>
    <t>inter Q</t>
  </si>
  <si>
    <t>cof qd</t>
  </si>
  <si>
    <t xml:space="preserve"> </t>
  </si>
  <si>
    <t>height of students</t>
  </si>
  <si>
    <t>Q2</t>
  </si>
  <si>
    <t>inter q</t>
  </si>
  <si>
    <t>coe QD</t>
  </si>
  <si>
    <t xml:space="preserve"> |x-mean|*f</t>
  </si>
  <si>
    <t>md</t>
  </si>
  <si>
    <t>q1</t>
  </si>
  <si>
    <t>i</t>
  </si>
  <si>
    <t>q2</t>
  </si>
  <si>
    <t xml:space="preserve">  x-mean</t>
  </si>
  <si>
    <t>q3</t>
  </si>
  <si>
    <t>qd</t>
  </si>
  <si>
    <t xml:space="preserve"> |x-mean|f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</si>
</sst>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  <xf numFmtId="0" fontId="0" fillId="6" borderId="0" xfId="0" applyFill="1"/>
    <xf numFmtId="49" fontId="1" fillId="3" borderId="0" xfId="0" applyNumberFormat="1" applyFont="1" applyFill="1"/>
    <xf numFmtId="0" fontId="0" fillId="7" borderId="0" xfId="0" applyFill="1"/>
    <xf numFmtId="49" fontId="1" fillId="0" borderId="0" xfId="0" applyNumberFormat="1" applyFont="1"/>
    <xf numFmtId="49" fontId="0" fillId="0" borderId="0" xfId="0" applyNumberFormat="1"/>
    <xf numFmtId="49" fontId="0" fillId="7" borderId="0" xfId="0" applyNumberFormat="1" applyFill="1"/>
    <xf numFmtId="49" fontId="0" fillId="2" borderId="0" xfId="0" applyNumberFormat="1" applyFont="1" applyFill="1"/>
    <xf numFmtId="49" fontId="1" fillId="7" borderId="0" xfId="0" applyNumberFormat="1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0" fillId="10" borderId="0" xfId="0" applyFill="1"/>
    <xf numFmtId="0" fontId="0" fillId="8" borderId="0" xfId="0" applyFill="1"/>
    <xf numFmtId="0" fontId="0" fillId="11" borderId="0" xfId="0" applyFill="1"/>
    <xf numFmtId="49" fontId="0" fillId="1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9"/>
  <sheetViews>
    <sheetView tabSelected="1" topLeftCell="A41" zoomScale="115" zoomScaleNormal="115" workbookViewId="0">
      <selection activeCell="D58" sqref="D58"/>
    </sheetView>
  </sheetViews>
  <sheetFormatPr defaultRowHeight="15" x14ac:dyDescent="0.25"/>
  <cols>
    <col min="2" max="2" width="16.28515625" customWidth="1"/>
    <col min="3" max="3" width="11.140625" customWidth="1"/>
    <col min="8" max="8" width="11.28515625" customWidth="1"/>
    <col min="9" max="9" width="16.140625" customWidth="1"/>
    <col min="15" max="15" width="12.5703125" customWidth="1"/>
  </cols>
  <sheetData>
    <row r="1" spans="1:22" ht="15.75" x14ac:dyDescent="0.2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18</v>
      </c>
      <c r="Q1" s="2"/>
      <c r="R1" s="2"/>
      <c r="S1" s="2"/>
      <c r="T1" s="2"/>
      <c r="U1" s="2"/>
    </row>
    <row r="2" spans="1:22" x14ac:dyDescent="0.25">
      <c r="A2" t="s">
        <v>2</v>
      </c>
      <c r="B2">
        <v>9</v>
      </c>
      <c r="C2">
        <v>33</v>
      </c>
      <c r="D2">
        <v>297</v>
      </c>
      <c r="E2">
        <f>C2-D12</f>
        <v>-10.921052631578945</v>
      </c>
      <c r="F2">
        <v>9</v>
      </c>
      <c r="Q2" s="2"/>
      <c r="R2" s="2" t="s">
        <v>17</v>
      </c>
      <c r="S2" s="2"/>
      <c r="T2" s="2">
        <f>E12^2</f>
        <v>6676.6101108033272</v>
      </c>
      <c r="U2" s="2"/>
      <c r="V2">
        <f>Q12^2</f>
        <v>0</v>
      </c>
    </row>
    <row r="3" spans="1:22" x14ac:dyDescent="0.25">
      <c r="A3" t="s">
        <v>3</v>
      </c>
      <c r="B3">
        <v>5</v>
      </c>
      <c r="C3">
        <v>38</v>
      </c>
      <c r="D3">
        <v>190</v>
      </c>
      <c r="E3">
        <f>C3-D12</f>
        <v>-5.9210526315789451</v>
      </c>
      <c r="F3">
        <f>9+B3</f>
        <v>14</v>
      </c>
      <c r="Q3" s="2"/>
      <c r="R3" s="2" t="s">
        <v>15</v>
      </c>
      <c r="S3" s="2"/>
      <c r="T3" s="2">
        <f>SQRT(T2/B11)</f>
        <v>13.255197700289942</v>
      </c>
      <c r="U3" s="2"/>
    </row>
    <row r="4" spans="1:22" x14ac:dyDescent="0.25">
      <c r="A4" t="s">
        <v>4</v>
      </c>
      <c r="B4">
        <v>14</v>
      </c>
      <c r="C4">
        <v>43</v>
      </c>
      <c r="D4">
        <v>602</v>
      </c>
      <c r="E4">
        <f>C4-D12</f>
        <v>-0.92105263157894512</v>
      </c>
      <c r="F4">
        <f>F3+B4</f>
        <v>28</v>
      </c>
      <c r="Q4" s="2"/>
      <c r="R4" s="2" t="s">
        <v>16</v>
      </c>
      <c r="S4" s="2"/>
      <c r="T4" s="2">
        <f>T3^2</f>
        <v>175.70026607377179</v>
      </c>
      <c r="U4" s="2"/>
    </row>
    <row r="5" spans="1:22" x14ac:dyDescent="0.25">
      <c r="A5" t="s">
        <v>5</v>
      </c>
      <c r="B5">
        <v>3</v>
      </c>
      <c r="C5">
        <v>48</v>
      </c>
      <c r="D5">
        <v>144</v>
      </c>
      <c r="E5">
        <f>C5-D12</f>
        <v>4.0789473684210549</v>
      </c>
      <c r="F5">
        <f>F4+B5</f>
        <v>31</v>
      </c>
      <c r="Q5" s="2"/>
      <c r="R5" s="2" t="s">
        <v>19</v>
      </c>
      <c r="S5" s="2"/>
      <c r="T5" s="2"/>
      <c r="U5" s="2"/>
    </row>
    <row r="6" spans="1:22" x14ac:dyDescent="0.25">
      <c r="A6" t="s">
        <v>6</v>
      </c>
      <c r="B6">
        <v>1</v>
      </c>
      <c r="C6">
        <v>53</v>
      </c>
      <c r="D6">
        <v>53</v>
      </c>
      <c r="E6">
        <f>C6-D12</f>
        <v>9.0789473684210549</v>
      </c>
      <c r="F6">
        <f>F5+B6</f>
        <v>32</v>
      </c>
      <c r="Q6" s="2"/>
      <c r="R6" s="2"/>
      <c r="S6" s="2" t="s">
        <v>20</v>
      </c>
      <c r="T6" s="2">
        <v>41</v>
      </c>
      <c r="U6" s="2"/>
    </row>
    <row r="7" spans="1:22" x14ac:dyDescent="0.25">
      <c r="A7" t="s">
        <v>7</v>
      </c>
      <c r="B7">
        <v>2</v>
      </c>
      <c r="C7">
        <v>58</v>
      </c>
      <c r="D7">
        <v>116</v>
      </c>
      <c r="E7">
        <f>C7-D12</f>
        <v>14.078947368421055</v>
      </c>
      <c r="F7">
        <v>34</v>
      </c>
      <c r="Q7" s="2"/>
      <c r="R7" s="2"/>
      <c r="S7" s="2" t="s">
        <v>24</v>
      </c>
      <c r="T7" s="2">
        <v>19</v>
      </c>
      <c r="U7" s="2"/>
    </row>
    <row r="8" spans="1:22" x14ac:dyDescent="0.25">
      <c r="A8" t="s">
        <v>8</v>
      </c>
      <c r="B8">
        <v>2</v>
      </c>
      <c r="C8">
        <v>63</v>
      </c>
      <c r="D8">
        <v>126</v>
      </c>
      <c r="E8">
        <f>C8-D12</f>
        <v>19.078947368421055</v>
      </c>
      <c r="F8">
        <v>36</v>
      </c>
      <c r="Q8" s="2"/>
      <c r="R8" s="2"/>
      <c r="S8" s="2" t="s">
        <v>22</v>
      </c>
      <c r="T8" s="2">
        <v>5</v>
      </c>
      <c r="U8" s="2"/>
    </row>
    <row r="9" spans="1:22" x14ac:dyDescent="0.25">
      <c r="A9" t="s">
        <v>9</v>
      </c>
      <c r="B9">
        <v>1</v>
      </c>
      <c r="C9">
        <v>68</v>
      </c>
      <c r="D9">
        <v>68</v>
      </c>
      <c r="E9">
        <f>C9-D12</f>
        <v>24.078947368421055</v>
      </c>
      <c r="F9">
        <v>37</v>
      </c>
      <c r="Q9" s="2"/>
      <c r="R9" s="2"/>
      <c r="S9" s="2" t="s">
        <v>23</v>
      </c>
      <c r="T9" s="2">
        <v>14</v>
      </c>
      <c r="U9" s="2"/>
    </row>
    <row r="10" spans="1:22" x14ac:dyDescent="0.25">
      <c r="A10" t="s">
        <v>10</v>
      </c>
      <c r="B10">
        <v>1</v>
      </c>
      <c r="C10">
        <v>73</v>
      </c>
      <c r="D10">
        <v>73</v>
      </c>
      <c r="E10">
        <f>C10-D12</f>
        <v>29.078947368421055</v>
      </c>
      <c r="F10">
        <v>38</v>
      </c>
      <c r="Q10" s="2"/>
      <c r="R10" s="2" t="s">
        <v>19</v>
      </c>
      <c r="S10" s="2"/>
      <c r="T10" s="2">
        <f>41+(19-14/14)*5</f>
        <v>131</v>
      </c>
      <c r="U10" s="2"/>
    </row>
    <row r="11" spans="1:22" x14ac:dyDescent="0.25">
      <c r="B11">
        <f>SUM(B2:B10)</f>
        <v>38</v>
      </c>
      <c r="D11">
        <f>SUM(D2:D10)</f>
        <v>1669</v>
      </c>
      <c r="Q11" s="2"/>
      <c r="R11" s="2" t="s">
        <v>25</v>
      </c>
      <c r="S11" s="2"/>
      <c r="T11" s="2"/>
      <c r="U11" s="2"/>
    </row>
    <row r="12" spans="1:22" x14ac:dyDescent="0.25">
      <c r="D12">
        <f>D11/B11</f>
        <v>43.921052631578945</v>
      </c>
      <c r="E12">
        <f>SUM(E2:E11)</f>
        <v>81.710526315789494</v>
      </c>
      <c r="Q12" s="2"/>
      <c r="R12" s="2"/>
      <c r="S12" s="2" t="s">
        <v>20</v>
      </c>
      <c r="T12" s="2">
        <v>41</v>
      </c>
      <c r="U12" s="2"/>
    </row>
    <row r="13" spans="1:22" x14ac:dyDescent="0.25">
      <c r="Q13" s="2"/>
      <c r="R13" s="2"/>
      <c r="S13" s="2" t="s">
        <v>26</v>
      </c>
      <c r="T13" s="2">
        <v>5</v>
      </c>
      <c r="U13" s="2"/>
    </row>
    <row r="14" spans="1:22" x14ac:dyDescent="0.25">
      <c r="I14" s="10" t="s">
        <v>41</v>
      </c>
      <c r="J14" s="10">
        <f>E21</f>
        <v>3.5</v>
      </c>
      <c r="K14" s="10"/>
      <c r="L14" s="10" t="s">
        <v>19</v>
      </c>
      <c r="M14" s="10">
        <f>3+(7.5-7/3)*2</f>
        <v>13.333333333333332</v>
      </c>
      <c r="Q14" s="2"/>
      <c r="R14" s="2"/>
      <c r="S14" s="2" t="s">
        <v>27</v>
      </c>
      <c r="T14" s="2">
        <v>14</v>
      </c>
      <c r="U14" s="2"/>
    </row>
    <row r="15" spans="1:22" x14ac:dyDescent="0.25">
      <c r="A15" s="4" t="s">
        <v>29</v>
      </c>
      <c r="B15" s="5"/>
      <c r="C15" s="4" t="s">
        <v>30</v>
      </c>
      <c r="D15" s="5" t="s">
        <v>31</v>
      </c>
      <c r="E15" s="5" t="s">
        <v>32</v>
      </c>
      <c r="F15" s="5" t="s">
        <v>33</v>
      </c>
      <c r="G15" s="5" t="s">
        <v>40</v>
      </c>
      <c r="I15" s="10" t="s">
        <v>14</v>
      </c>
      <c r="J15" s="10">
        <f>F20^2</f>
        <v>16</v>
      </c>
      <c r="K15" s="10"/>
      <c r="L15" s="10" t="s">
        <v>25</v>
      </c>
      <c r="M15" s="10">
        <f>3+(3-7/6-7-3)*2</f>
        <v>-13.333333333333336</v>
      </c>
      <c r="Q15" s="2"/>
      <c r="R15" s="2"/>
      <c r="S15" s="2" t="s">
        <v>28</v>
      </c>
      <c r="T15" s="2">
        <v>3</v>
      </c>
      <c r="U15" s="2"/>
    </row>
    <row r="16" spans="1:22" x14ac:dyDescent="0.25">
      <c r="A16" s="6" t="s">
        <v>34</v>
      </c>
      <c r="B16" s="7"/>
      <c r="C16" s="7">
        <v>7</v>
      </c>
      <c r="D16" s="7">
        <v>1.5</v>
      </c>
      <c r="E16" s="7">
        <v>10.5</v>
      </c>
      <c r="F16" s="8">
        <f>D16-E21</f>
        <v>-2</v>
      </c>
      <c r="G16" s="7">
        <v>7</v>
      </c>
      <c r="I16" s="10" t="s">
        <v>15</v>
      </c>
      <c r="J16" s="10">
        <f>SQRT(J15/C20)</f>
        <v>1.0327955589886444</v>
      </c>
      <c r="K16" s="10"/>
      <c r="L16" s="10"/>
      <c r="M16" s="10"/>
      <c r="Q16" s="2"/>
      <c r="R16" s="2"/>
      <c r="S16" s="2" t="s">
        <v>22</v>
      </c>
      <c r="T16" s="2">
        <v>5</v>
      </c>
      <c r="U16" s="2"/>
    </row>
    <row r="17" spans="1:24" x14ac:dyDescent="0.25">
      <c r="A17" s="6" t="s">
        <v>35</v>
      </c>
      <c r="B17" s="7"/>
      <c r="C17" s="7">
        <v>3</v>
      </c>
      <c r="D17" s="7">
        <v>3.5</v>
      </c>
      <c r="E17" s="7">
        <v>10.5</v>
      </c>
      <c r="F17" s="8">
        <f>D17-E21</f>
        <v>0</v>
      </c>
      <c r="G17" s="10">
        <f>7+3</f>
        <v>10</v>
      </c>
      <c r="I17" s="10" t="s">
        <v>16</v>
      </c>
      <c r="J17" s="10">
        <f>J16^2</f>
        <v>1.0666666666666664</v>
      </c>
      <c r="K17" s="10"/>
      <c r="L17" s="10"/>
      <c r="M17" s="10"/>
      <c r="Q17" s="2"/>
      <c r="R17" s="2" t="s">
        <v>25</v>
      </c>
      <c r="S17" s="2"/>
      <c r="T17" s="2">
        <f>41+(14-5/28-5-3)*5</f>
        <v>70.107142857142861</v>
      </c>
      <c r="U17" s="2"/>
    </row>
    <row r="18" spans="1:24" x14ac:dyDescent="0.25">
      <c r="A18" s="6" t="s">
        <v>36</v>
      </c>
      <c r="B18" s="7"/>
      <c r="C18" s="7">
        <v>3</v>
      </c>
      <c r="D18" s="7">
        <v>5.5</v>
      </c>
      <c r="E18" s="7">
        <v>16.5</v>
      </c>
      <c r="F18" s="8">
        <f>D18-E21</f>
        <v>2</v>
      </c>
      <c r="G18" s="10">
        <f>10+3</f>
        <v>13</v>
      </c>
      <c r="I18" s="10"/>
      <c r="J18" s="10"/>
      <c r="K18" s="10"/>
      <c r="L18" s="10"/>
      <c r="M18" s="10"/>
    </row>
    <row r="19" spans="1:24" x14ac:dyDescent="0.25">
      <c r="A19" s="6" t="s">
        <v>37</v>
      </c>
      <c r="B19" s="7"/>
      <c r="C19" s="7">
        <v>2</v>
      </c>
      <c r="D19" s="7">
        <v>7.5</v>
      </c>
      <c r="E19" s="7">
        <v>15</v>
      </c>
      <c r="F19" s="8">
        <f>D19-E21</f>
        <v>4</v>
      </c>
      <c r="G19" s="10">
        <f>G18+C19</f>
        <v>15</v>
      </c>
      <c r="I19" s="10" t="s">
        <v>20</v>
      </c>
      <c r="J19" s="10">
        <v>3</v>
      </c>
      <c r="K19" s="10"/>
      <c r="L19" s="10"/>
      <c r="M19" s="10"/>
    </row>
    <row r="20" spans="1:24" x14ac:dyDescent="0.25">
      <c r="A20" s="9" t="s">
        <v>38</v>
      </c>
      <c r="B20" s="3"/>
      <c r="C20" s="3">
        <f>SUM(C16:C19)</f>
        <v>15</v>
      </c>
      <c r="D20" s="3"/>
      <c r="E20" s="3">
        <f>SUM(E16:E19)</f>
        <v>52.5</v>
      </c>
      <c r="F20" s="3">
        <f>SUM(F16:F19)</f>
        <v>4</v>
      </c>
      <c r="I20" s="10" t="s">
        <v>23</v>
      </c>
      <c r="J20" s="10">
        <v>3</v>
      </c>
      <c r="K20" s="10"/>
      <c r="L20" s="10"/>
      <c r="M20" s="10"/>
    </row>
    <row r="21" spans="1:24" x14ac:dyDescent="0.25">
      <c r="A21" s="9" t="s">
        <v>39</v>
      </c>
      <c r="B21" s="3"/>
      <c r="C21" s="3"/>
      <c r="D21" s="3"/>
      <c r="E21" s="3">
        <f>AVERAGE(52.5/15)</f>
        <v>3.5</v>
      </c>
      <c r="F21" s="3"/>
      <c r="I21" s="10" t="s">
        <v>22</v>
      </c>
      <c r="J21" s="10">
        <v>2</v>
      </c>
      <c r="K21" s="10"/>
      <c r="L21" s="10"/>
      <c r="M21" s="10"/>
    </row>
    <row r="22" spans="1:24" x14ac:dyDescent="0.25">
      <c r="I22" s="10" t="s">
        <v>24</v>
      </c>
      <c r="J22" s="10">
        <v>7.5</v>
      </c>
      <c r="K22" s="10"/>
      <c r="L22" s="10"/>
      <c r="M22" s="10"/>
    </row>
    <row r="23" spans="1:24" x14ac:dyDescent="0.25">
      <c r="I23" s="10" t="s">
        <v>42</v>
      </c>
      <c r="J23" s="10">
        <v>7</v>
      </c>
      <c r="K23" s="10"/>
      <c r="L23" s="10"/>
      <c r="M23" s="10"/>
    </row>
    <row r="24" spans="1:24" x14ac:dyDescent="0.25">
      <c r="I24" s="10" t="s">
        <v>27</v>
      </c>
      <c r="J24" s="10">
        <v>3</v>
      </c>
      <c r="K24" s="10"/>
      <c r="L24" s="10"/>
      <c r="M24" s="10"/>
    </row>
    <row r="25" spans="1:24" x14ac:dyDescent="0.25">
      <c r="I25" s="10" t="s">
        <v>26</v>
      </c>
      <c r="J25" s="10">
        <v>7</v>
      </c>
      <c r="K25" s="10"/>
      <c r="L25" s="10"/>
      <c r="M25" s="10"/>
    </row>
    <row r="26" spans="1:24" x14ac:dyDescent="0.25">
      <c r="I26" s="10" t="s">
        <v>28</v>
      </c>
      <c r="J26" s="10">
        <v>3</v>
      </c>
      <c r="K26" s="10"/>
      <c r="L26" s="10"/>
      <c r="M26" s="10"/>
      <c r="T26" s="20" t="s">
        <v>111</v>
      </c>
      <c r="U26" s="20">
        <f>R29+(R33/R30)*(3*R31/4-R32)</f>
        <v>25</v>
      </c>
      <c r="V26" s="20"/>
      <c r="W26" s="20"/>
      <c r="X26" s="20"/>
    </row>
    <row r="27" spans="1:24" x14ac:dyDescent="0.25">
      <c r="T27" s="20" t="s">
        <v>109</v>
      </c>
      <c r="U27" s="20">
        <f>P29+(P33/P30)*(P31/4-P32)</f>
        <v>15</v>
      </c>
      <c r="V27" s="20"/>
      <c r="W27" s="20"/>
      <c r="X27" s="20"/>
    </row>
    <row r="28" spans="1:24" x14ac:dyDescent="0.25">
      <c r="A28" s="11" t="s">
        <v>43</v>
      </c>
      <c r="B28" s="11" t="s">
        <v>44</v>
      </c>
      <c r="C28" t="s">
        <v>56</v>
      </c>
      <c r="D28" t="s">
        <v>57</v>
      </c>
      <c r="E28" t="s">
        <v>58</v>
      </c>
      <c r="F28" t="s">
        <v>18</v>
      </c>
      <c r="G28" t="s">
        <v>13</v>
      </c>
      <c r="H28" t="s">
        <v>107</v>
      </c>
      <c r="O28" t="s">
        <v>109</v>
      </c>
      <c r="P28">
        <f>20/4</f>
        <v>5</v>
      </c>
      <c r="Q28" t="s">
        <v>111</v>
      </c>
      <c r="R28">
        <f>3*20/4</f>
        <v>15</v>
      </c>
      <c r="T28" s="20" t="s">
        <v>108</v>
      </c>
      <c r="U28" s="23">
        <f>H35/20</f>
        <v>46.083000000000006</v>
      </c>
      <c r="V28" s="20"/>
      <c r="W28" s="20"/>
      <c r="X28" s="20"/>
    </row>
    <row r="29" spans="1:24" x14ac:dyDescent="0.25">
      <c r="A29" s="12" t="s">
        <v>45</v>
      </c>
      <c r="B29" s="12" t="s">
        <v>51</v>
      </c>
      <c r="C29">
        <f>(5+9)/2</f>
        <v>7</v>
      </c>
      <c r="D29" s="12">
        <f t="shared" ref="D29:D34" si="0">B29*C29</f>
        <v>7</v>
      </c>
      <c r="E29" s="12">
        <f>C29-D36</f>
        <v>-58.833333333333329</v>
      </c>
      <c r="F29">
        <v>1</v>
      </c>
      <c r="G29">
        <v>58.832999999999998</v>
      </c>
      <c r="H29" s="12">
        <f>G29*B29</f>
        <v>58.832999999999998</v>
      </c>
      <c r="O29" t="s">
        <v>20</v>
      </c>
      <c r="P29">
        <v>10</v>
      </c>
      <c r="R29">
        <v>20</v>
      </c>
      <c r="T29" s="10" t="s">
        <v>41</v>
      </c>
      <c r="U29" s="13" t="s">
        <v>62</v>
      </c>
      <c r="V29" s="10"/>
      <c r="W29" s="10" t="s">
        <v>24</v>
      </c>
      <c r="X29" s="10">
        <v>10</v>
      </c>
    </row>
    <row r="30" spans="1:24" x14ac:dyDescent="0.25">
      <c r="A30" s="12" t="s">
        <v>46</v>
      </c>
      <c r="B30" s="12" t="s">
        <v>52</v>
      </c>
      <c r="C30">
        <f>(10+14)/2</f>
        <v>12</v>
      </c>
      <c r="D30" s="12">
        <f t="shared" si="0"/>
        <v>48</v>
      </c>
      <c r="E30" s="12">
        <f>C30-D36</f>
        <v>-53.833333333333329</v>
      </c>
      <c r="F30">
        <v>5</v>
      </c>
      <c r="G30">
        <v>53.832999999999998</v>
      </c>
      <c r="H30" s="12">
        <f t="shared" ref="H30:H34" si="1">G30*B30</f>
        <v>215.33199999999999</v>
      </c>
      <c r="O30" t="s">
        <v>23</v>
      </c>
      <c r="P30">
        <v>4</v>
      </c>
      <c r="R30">
        <v>4</v>
      </c>
      <c r="T30" s="10" t="s">
        <v>14</v>
      </c>
      <c r="U30" s="13">
        <f>E35^2</f>
        <v>77283.999999999971</v>
      </c>
      <c r="V30" s="10"/>
      <c r="W30" s="10" t="s">
        <v>22</v>
      </c>
      <c r="X30" s="10">
        <v>5</v>
      </c>
    </row>
    <row r="31" spans="1:24" x14ac:dyDescent="0.25">
      <c r="A31" s="12" t="s">
        <v>47</v>
      </c>
      <c r="B31" s="12" t="s">
        <v>53</v>
      </c>
      <c r="C31">
        <f>(15+19)/2</f>
        <v>17</v>
      </c>
      <c r="D31" s="12">
        <f t="shared" si="0"/>
        <v>102</v>
      </c>
      <c r="E31" s="12">
        <f>C31-D36</f>
        <v>-48.833333333333329</v>
      </c>
      <c r="F31">
        <v>11</v>
      </c>
      <c r="G31">
        <v>48.832999999999998</v>
      </c>
      <c r="H31" s="12">
        <f t="shared" si="1"/>
        <v>292.99799999999999</v>
      </c>
      <c r="O31" t="s">
        <v>21</v>
      </c>
      <c r="P31">
        <v>20</v>
      </c>
      <c r="R31">
        <v>20</v>
      </c>
      <c r="T31" s="10" t="s">
        <v>15</v>
      </c>
      <c r="U31" s="10">
        <f>SQRT(U30/20)</f>
        <v>62.16268977449414</v>
      </c>
      <c r="V31" s="10"/>
      <c r="W31" s="10" t="s">
        <v>20</v>
      </c>
      <c r="X31" s="10">
        <v>15</v>
      </c>
    </row>
    <row r="32" spans="1:24" x14ac:dyDescent="0.25">
      <c r="A32" s="12" t="s">
        <v>48</v>
      </c>
      <c r="B32" s="12" t="s">
        <v>52</v>
      </c>
      <c r="C32">
        <f>(20+24)/2</f>
        <v>22</v>
      </c>
      <c r="D32" s="12">
        <f t="shared" si="0"/>
        <v>88</v>
      </c>
      <c r="E32" s="12">
        <f>C32-D36</f>
        <v>-43.833333333333329</v>
      </c>
      <c r="F32">
        <v>15</v>
      </c>
      <c r="G32">
        <v>43.832999999999998</v>
      </c>
      <c r="H32" s="12">
        <f t="shared" si="1"/>
        <v>175.33199999999999</v>
      </c>
      <c r="O32" t="s">
        <v>42</v>
      </c>
      <c r="P32">
        <v>1</v>
      </c>
      <c r="R32">
        <v>11</v>
      </c>
      <c r="T32" s="10" t="s">
        <v>16</v>
      </c>
      <c r="U32" s="10">
        <f>U31^2</f>
        <v>3864.1999999999985</v>
      </c>
      <c r="V32" s="10"/>
      <c r="W32" s="10" t="s">
        <v>23</v>
      </c>
      <c r="X32" s="10">
        <v>6</v>
      </c>
    </row>
    <row r="33" spans="1:24" x14ac:dyDescent="0.25">
      <c r="A33" s="12" t="s">
        <v>49</v>
      </c>
      <c r="B33" s="12" t="s">
        <v>54</v>
      </c>
      <c r="C33">
        <f>(25+29)/2</f>
        <v>27</v>
      </c>
      <c r="D33" s="12">
        <f t="shared" si="0"/>
        <v>54</v>
      </c>
      <c r="E33" s="12">
        <f>C33-D36</f>
        <v>-38.833333333333329</v>
      </c>
      <c r="F33">
        <v>17</v>
      </c>
      <c r="G33">
        <v>38.832999999999998</v>
      </c>
      <c r="H33" s="12">
        <f t="shared" si="1"/>
        <v>77.665999999999997</v>
      </c>
      <c r="O33" t="s">
        <v>110</v>
      </c>
      <c r="P33">
        <v>5</v>
      </c>
      <c r="R33">
        <v>5</v>
      </c>
      <c r="T33" s="10" t="s">
        <v>19</v>
      </c>
      <c r="U33" s="10">
        <f>15+(5/6)*5</f>
        <v>19.166666666666668</v>
      </c>
      <c r="V33" s="10"/>
      <c r="W33" s="10" t="s">
        <v>42</v>
      </c>
      <c r="X33" s="10">
        <v>5</v>
      </c>
    </row>
    <row r="34" spans="1:24" x14ac:dyDescent="0.25">
      <c r="A34" s="12" t="s">
        <v>50</v>
      </c>
      <c r="B34" s="12" t="s">
        <v>55</v>
      </c>
      <c r="C34">
        <f>(30+34)/2</f>
        <v>32</v>
      </c>
      <c r="D34" s="12">
        <f t="shared" si="0"/>
        <v>96</v>
      </c>
      <c r="E34" s="12">
        <f>C34-D36</f>
        <v>-33.833333333333329</v>
      </c>
      <c r="F34">
        <v>20</v>
      </c>
      <c r="G34">
        <v>33.832999999999998</v>
      </c>
      <c r="H34" s="12">
        <f t="shared" si="1"/>
        <v>101.499</v>
      </c>
      <c r="T34" s="10" t="s">
        <v>25</v>
      </c>
      <c r="U34" s="10">
        <f>15+(2/4)*5</f>
        <v>17.5</v>
      </c>
      <c r="V34" s="10"/>
      <c r="W34" s="10" t="s">
        <v>27</v>
      </c>
      <c r="X34" s="10">
        <v>6</v>
      </c>
    </row>
    <row r="35" spans="1:24" x14ac:dyDescent="0.25">
      <c r="A35" s="12" t="s">
        <v>59</v>
      </c>
      <c r="D35" s="12">
        <f>SUM(D29:D34)</f>
        <v>395</v>
      </c>
      <c r="E35" s="12">
        <f>SUM(E29:E34)</f>
        <v>-277.99999999999994</v>
      </c>
      <c r="H35" s="12">
        <f>SUM(H29:H34)</f>
        <v>921.66000000000008</v>
      </c>
      <c r="T35" s="10"/>
      <c r="U35" s="10"/>
      <c r="V35" s="10"/>
      <c r="W35" s="10" t="s">
        <v>26</v>
      </c>
      <c r="X35" s="10">
        <v>4</v>
      </c>
    </row>
    <row r="36" spans="1:24" x14ac:dyDescent="0.25">
      <c r="A36" s="12" t="s">
        <v>41</v>
      </c>
      <c r="D36" s="12">
        <f>D35/6</f>
        <v>65.833333333333329</v>
      </c>
      <c r="T36" s="10"/>
      <c r="U36" s="10"/>
      <c r="V36" s="10"/>
      <c r="W36" s="10" t="s">
        <v>28</v>
      </c>
      <c r="X36" s="10">
        <v>4</v>
      </c>
    </row>
    <row r="37" spans="1:24" x14ac:dyDescent="0.25">
      <c r="I37" s="10"/>
      <c r="J37" s="10"/>
      <c r="K37" s="10"/>
      <c r="L37" s="10"/>
      <c r="M37" s="10"/>
    </row>
    <row r="39" spans="1:24" x14ac:dyDescent="0.25">
      <c r="M39" s="20" t="s">
        <v>109</v>
      </c>
      <c r="N39" s="20">
        <f>B46/4</f>
        <v>23</v>
      </c>
      <c r="O39" s="20" t="s">
        <v>113</v>
      </c>
      <c r="P39" s="20">
        <f>3*92/4</f>
        <v>69</v>
      </c>
      <c r="S39" s="10" t="s">
        <v>41</v>
      </c>
      <c r="T39" s="10">
        <f>D46/5</f>
        <v>322.8</v>
      </c>
      <c r="U39" s="10"/>
      <c r="V39" s="10" t="s">
        <v>24</v>
      </c>
      <c r="W39" s="10">
        <v>46</v>
      </c>
      <c r="X39" s="10"/>
    </row>
    <row r="40" spans="1:24" x14ac:dyDescent="0.25">
      <c r="A40" s="15" t="s">
        <v>60</v>
      </c>
      <c r="B40" s="16" t="s">
        <v>61</v>
      </c>
      <c r="C40" s="16" t="s">
        <v>56</v>
      </c>
      <c r="D40" s="16" t="s">
        <v>57</v>
      </c>
      <c r="E40" s="16" t="s">
        <v>58</v>
      </c>
      <c r="F40" s="16" t="s">
        <v>42</v>
      </c>
      <c r="G40" s="16" t="s">
        <v>112</v>
      </c>
      <c r="H40" s="16" t="s">
        <v>107</v>
      </c>
      <c r="M40" s="20" t="s">
        <v>21</v>
      </c>
      <c r="N40" s="20">
        <v>92</v>
      </c>
      <c r="O40" s="20"/>
      <c r="P40" s="20">
        <v>92</v>
      </c>
      <c r="S40" s="10" t="s">
        <v>14</v>
      </c>
      <c r="T40" s="10">
        <f>E46^2</f>
        <v>2224572.25</v>
      </c>
      <c r="U40" s="10"/>
      <c r="V40" s="10" t="s">
        <v>22</v>
      </c>
      <c r="W40" s="10">
        <v>10</v>
      </c>
      <c r="X40" s="10"/>
    </row>
    <row r="41" spans="1:24" x14ac:dyDescent="0.25">
      <c r="A41" s="14" t="s">
        <v>63</v>
      </c>
      <c r="B41" s="2">
        <v>30</v>
      </c>
      <c r="C41" s="2">
        <f>(0+9)/2</f>
        <v>4.5</v>
      </c>
      <c r="D41" s="2">
        <f>B41*C41</f>
        <v>135</v>
      </c>
      <c r="E41" s="2">
        <f>C41-T39</f>
        <v>-318.3</v>
      </c>
      <c r="F41" s="2">
        <v>30</v>
      </c>
      <c r="G41">
        <v>318.3</v>
      </c>
      <c r="H41">
        <f>G41*B41</f>
        <v>9549</v>
      </c>
      <c r="M41" s="20" t="s">
        <v>20</v>
      </c>
      <c r="N41" s="20">
        <v>0</v>
      </c>
      <c r="O41" s="20"/>
      <c r="P41" s="20">
        <v>20</v>
      </c>
      <c r="S41" s="10" t="s">
        <v>15</v>
      </c>
      <c r="T41" s="10">
        <f>SQRT(T40/B46)</f>
        <v>155.4996242830635</v>
      </c>
      <c r="U41" s="10"/>
      <c r="V41" s="10" t="s">
        <v>20</v>
      </c>
      <c r="W41" s="10">
        <v>10</v>
      </c>
      <c r="X41" s="10"/>
    </row>
    <row r="42" spans="1:24" x14ac:dyDescent="0.25">
      <c r="A42" s="14" t="s">
        <v>64</v>
      </c>
      <c r="B42" s="2">
        <v>27</v>
      </c>
      <c r="C42" s="2">
        <f>(10+19)/2</f>
        <v>14.5</v>
      </c>
      <c r="D42" s="2">
        <f>B42*C42</f>
        <v>391.5</v>
      </c>
      <c r="E42" s="2">
        <f>C42-T39</f>
        <v>-308.3</v>
      </c>
      <c r="F42" s="2">
        <v>57</v>
      </c>
      <c r="G42">
        <v>308.3</v>
      </c>
      <c r="H42">
        <f t="shared" ref="H42:H45" si="2">G42*B42</f>
        <v>8324.1</v>
      </c>
      <c r="M42" s="20" t="s">
        <v>23</v>
      </c>
      <c r="N42" s="20">
        <v>30</v>
      </c>
      <c r="O42" s="20"/>
      <c r="P42" s="20">
        <v>14</v>
      </c>
      <c r="S42" s="10" t="s">
        <v>16</v>
      </c>
      <c r="T42" s="10">
        <f>T41^2</f>
        <v>24180.133152173912</v>
      </c>
      <c r="U42" s="10"/>
      <c r="V42" s="10" t="s">
        <v>23</v>
      </c>
      <c r="W42" s="10">
        <v>27</v>
      </c>
      <c r="X42" s="10"/>
    </row>
    <row r="43" spans="1:24" x14ac:dyDescent="0.25">
      <c r="A43" s="14" t="s">
        <v>65</v>
      </c>
      <c r="B43" s="2">
        <v>14</v>
      </c>
      <c r="C43" s="2">
        <f>(20+29)/2</f>
        <v>24.5</v>
      </c>
      <c r="D43" s="2">
        <f>B43*C43</f>
        <v>343</v>
      </c>
      <c r="E43" s="2">
        <f>C43-T39</f>
        <v>-298.3</v>
      </c>
      <c r="F43" s="2">
        <v>71</v>
      </c>
      <c r="G43">
        <v>298.3</v>
      </c>
      <c r="H43">
        <f t="shared" si="2"/>
        <v>4176.2</v>
      </c>
      <c r="M43" s="20" t="s">
        <v>42</v>
      </c>
      <c r="N43" s="20">
        <v>0</v>
      </c>
      <c r="O43" s="20"/>
      <c r="P43" s="20">
        <v>57</v>
      </c>
      <c r="S43" s="10" t="s">
        <v>19</v>
      </c>
      <c r="T43" s="10">
        <f>10+((46-30)/27)*10</f>
        <v>15.925925925925926</v>
      </c>
      <c r="U43" s="10"/>
      <c r="V43" s="10" t="s">
        <v>42</v>
      </c>
      <c r="W43" s="10">
        <v>30</v>
      </c>
      <c r="X43" s="10"/>
    </row>
    <row r="44" spans="1:24" x14ac:dyDescent="0.25">
      <c r="A44" s="14" t="s">
        <v>66</v>
      </c>
      <c r="B44" s="2">
        <v>19</v>
      </c>
      <c r="C44" s="2">
        <f>(30+39)/2</f>
        <v>34.5</v>
      </c>
      <c r="D44" s="2">
        <f>B44*C44</f>
        <v>655.5</v>
      </c>
      <c r="E44" s="2">
        <f>C44-T39</f>
        <v>-288.3</v>
      </c>
      <c r="F44" s="2">
        <v>90</v>
      </c>
      <c r="G44">
        <v>288.3</v>
      </c>
      <c r="H44">
        <f t="shared" si="2"/>
        <v>5477.7</v>
      </c>
      <c r="M44" s="20" t="s">
        <v>110</v>
      </c>
      <c r="N44" s="20">
        <v>10</v>
      </c>
      <c r="O44" s="20"/>
      <c r="P44" s="20">
        <v>10</v>
      </c>
      <c r="S44" s="10" t="s">
        <v>25</v>
      </c>
      <c r="T44" s="10">
        <f>10+(-3/10)*10</f>
        <v>7</v>
      </c>
      <c r="U44" s="10"/>
      <c r="V44" s="10" t="s">
        <v>27</v>
      </c>
      <c r="W44" s="10">
        <v>27</v>
      </c>
      <c r="X44" s="10"/>
    </row>
    <row r="45" spans="1:24" x14ac:dyDescent="0.25">
      <c r="A45" s="14" t="s">
        <v>67</v>
      </c>
      <c r="B45" s="2">
        <v>2</v>
      </c>
      <c r="C45" s="2">
        <f>(40+49)/2</f>
        <v>44.5</v>
      </c>
      <c r="D45" s="2">
        <f>B45*C45</f>
        <v>89</v>
      </c>
      <c r="E45" s="2">
        <f>C45-T39</f>
        <v>-278.3</v>
      </c>
      <c r="F45" s="2">
        <v>92</v>
      </c>
      <c r="G45">
        <v>278.3</v>
      </c>
      <c r="H45">
        <f t="shared" si="2"/>
        <v>556.6</v>
      </c>
      <c r="M45" s="20" t="s">
        <v>114</v>
      </c>
      <c r="N45" s="20">
        <f>V48-T48/2</f>
        <v>24.738095238095237</v>
      </c>
      <c r="O45" s="20"/>
      <c r="P45" s="20"/>
      <c r="S45" s="10"/>
      <c r="T45" s="10"/>
      <c r="U45" s="10"/>
      <c r="V45" s="10" t="s">
        <v>26</v>
      </c>
      <c r="W45" s="10">
        <v>30</v>
      </c>
      <c r="X45" s="10"/>
    </row>
    <row r="46" spans="1:24" x14ac:dyDescent="0.25">
      <c r="A46" s="14" t="s">
        <v>59</v>
      </c>
      <c r="B46" s="2">
        <f>SUM(B41:B45)</f>
        <v>92</v>
      </c>
      <c r="C46" s="2"/>
      <c r="D46" s="2">
        <f>SUM(D41:D45)</f>
        <v>1614</v>
      </c>
      <c r="E46" s="2">
        <f>SUM(E41:E45)</f>
        <v>-1491.5</v>
      </c>
      <c r="F46" s="2"/>
      <c r="H46">
        <f>SUM(H41:H45)</f>
        <v>28083.599999999999</v>
      </c>
      <c r="S46" s="10"/>
      <c r="T46" s="10"/>
      <c r="U46" s="10"/>
      <c r="V46" s="10" t="s">
        <v>28</v>
      </c>
      <c r="W46" s="10">
        <v>14</v>
      </c>
      <c r="X46" s="10"/>
    </row>
    <row r="47" spans="1:24" x14ac:dyDescent="0.25">
      <c r="S47" s="20" t="s">
        <v>108</v>
      </c>
      <c r="T47" s="20">
        <f>H46/B46</f>
        <v>305.25652173913039</v>
      </c>
      <c r="U47" s="20"/>
      <c r="V47" s="20"/>
      <c r="W47" s="20"/>
      <c r="X47" s="20"/>
    </row>
    <row r="48" spans="1:24" x14ac:dyDescent="0.25">
      <c r="S48" s="20" t="s">
        <v>109</v>
      </c>
      <c r="T48" s="20">
        <f>N41+(N44/N42)*(92/4-N43)</f>
        <v>7.6666666666666661</v>
      </c>
      <c r="U48" s="20" t="s">
        <v>113</v>
      </c>
      <c r="V48" s="20">
        <f>P41+(P44/P42)*(3*P40/4-P43)</f>
        <v>28.571428571428569</v>
      </c>
      <c r="W48" s="20"/>
      <c r="X48" s="20"/>
    </row>
    <row r="50" spans="1:20" x14ac:dyDescent="0.25">
      <c r="A50" s="17" t="s">
        <v>68</v>
      </c>
      <c r="B50" s="17" t="s">
        <v>69</v>
      </c>
      <c r="C50" s="17" t="s">
        <v>70</v>
      </c>
      <c r="D50" s="17" t="s">
        <v>71</v>
      </c>
      <c r="E50" s="17" t="s">
        <v>72</v>
      </c>
      <c r="F50" s="17" t="s">
        <v>73</v>
      </c>
      <c r="G50" s="17" t="s">
        <v>74</v>
      </c>
      <c r="H50" s="18" t="s">
        <v>86</v>
      </c>
      <c r="I50" s="18" t="s">
        <v>85</v>
      </c>
      <c r="J50" s="18" t="s">
        <v>84</v>
      </c>
      <c r="K50" s="18" t="s">
        <v>83</v>
      </c>
      <c r="L50" s="18" t="s">
        <v>82</v>
      </c>
      <c r="M50" s="18" t="s">
        <v>81</v>
      </c>
      <c r="N50" s="18" t="s">
        <v>13</v>
      </c>
      <c r="O50" s="18" t="s">
        <v>115</v>
      </c>
      <c r="S50" s="21" t="s">
        <v>88</v>
      </c>
      <c r="T50" s="21">
        <f>B57/6</f>
        <v>2.5</v>
      </c>
    </row>
    <row r="51" spans="1:20" x14ac:dyDescent="0.25">
      <c r="A51" s="22">
        <v>3</v>
      </c>
      <c r="B51" s="22">
        <v>1</v>
      </c>
      <c r="C51" s="22">
        <f>A51-T51</f>
        <v>-8.6666666666666661</v>
      </c>
      <c r="D51" s="22">
        <v>6</v>
      </c>
      <c r="E51" s="22">
        <v>5.5</v>
      </c>
      <c r="F51" s="22">
        <f t="shared" ref="F51:F56" si="3">D51-E51</f>
        <v>0.5</v>
      </c>
      <c r="G51" s="22">
        <f t="shared" ref="G51:G56" si="4">F51^2</f>
        <v>0.25</v>
      </c>
      <c r="H51" s="22">
        <f>A51-T51</f>
        <v>-8.6666666666666661</v>
      </c>
      <c r="I51" s="22">
        <f>B51-T50</f>
        <v>-1.5</v>
      </c>
      <c r="J51" s="22">
        <f>H51^2</f>
        <v>75.1111111111111</v>
      </c>
      <c r="K51" s="22">
        <f>H51*I51</f>
        <v>13</v>
      </c>
      <c r="L51" s="22">
        <f>Q60+(R54*A51)</f>
        <v>1.7513089005235605</v>
      </c>
      <c r="M51" s="22">
        <f>(B51-L51)^2</f>
        <v>0.56446506400592134</v>
      </c>
      <c r="N51">
        <f>8.6666667</f>
        <v>8.6666667000000004</v>
      </c>
      <c r="O51">
        <f>N51*B51</f>
        <v>8.6666667000000004</v>
      </c>
      <c r="P51" s="19" t="s">
        <v>92</v>
      </c>
      <c r="S51" s="21" t="s">
        <v>87</v>
      </c>
      <c r="T51" s="21">
        <f>A57/6</f>
        <v>11.666666666666666</v>
      </c>
    </row>
    <row r="52" spans="1:20" x14ac:dyDescent="0.25">
      <c r="A52" s="22">
        <v>9</v>
      </c>
      <c r="B52" s="22">
        <v>3</v>
      </c>
      <c r="C52" s="22">
        <f>A52-T51</f>
        <v>-2.6666666666666661</v>
      </c>
      <c r="D52" s="22">
        <v>5</v>
      </c>
      <c r="E52" s="22">
        <v>3</v>
      </c>
      <c r="F52" s="22">
        <f t="shared" si="3"/>
        <v>2</v>
      </c>
      <c r="G52" s="22">
        <f t="shared" si="4"/>
        <v>4</v>
      </c>
      <c r="H52" s="22">
        <f>A52-T51</f>
        <v>-2.6666666666666661</v>
      </c>
      <c r="I52" s="22">
        <f>B52-T50</f>
        <v>0.5</v>
      </c>
      <c r="J52" s="22">
        <f t="shared" ref="J52:J55" si="5">H52^2</f>
        <v>7.1111111111111081</v>
      </c>
      <c r="K52" s="22">
        <f t="shared" ref="K52:K56" si="6">H52*I52</f>
        <v>-1.333333333333333</v>
      </c>
      <c r="L52" s="22">
        <f>Q60+(R54*B52)</f>
        <v>1.7513089005235605</v>
      </c>
      <c r="M52" s="22">
        <f t="shared" ref="M52:M56" si="7">(B52-L52)^2</f>
        <v>1.5592294619116793</v>
      </c>
      <c r="N52">
        <v>2.6666669999999999</v>
      </c>
      <c r="O52">
        <f t="shared" ref="O52:O56" si="8">N52*B52</f>
        <v>8.0000009999999993</v>
      </c>
      <c r="P52" t="s">
        <v>91</v>
      </c>
      <c r="R52">
        <f>K57</f>
        <v>11</v>
      </c>
      <c r="S52" s="21" t="s">
        <v>19</v>
      </c>
      <c r="T52" s="21">
        <f>MEDIAN(A51,A52,A53,A54,A55,A56)</f>
        <v>13</v>
      </c>
    </row>
    <row r="53" spans="1:20" x14ac:dyDescent="0.25">
      <c r="A53" s="22">
        <v>12</v>
      </c>
      <c r="B53" s="22">
        <v>4</v>
      </c>
      <c r="C53" s="22">
        <f>A53-T51</f>
        <v>0.33333333333333393</v>
      </c>
      <c r="D53" s="22">
        <v>4</v>
      </c>
      <c r="E53" s="22">
        <v>1.5</v>
      </c>
      <c r="F53" s="22">
        <f t="shared" si="3"/>
        <v>2.5</v>
      </c>
      <c r="G53" s="22">
        <f t="shared" si="4"/>
        <v>6.25</v>
      </c>
      <c r="H53" s="22">
        <f>A53-T51</f>
        <v>0.33333333333333393</v>
      </c>
      <c r="I53" s="22">
        <f>B53-T50</f>
        <v>1.5</v>
      </c>
      <c r="J53" s="22">
        <f t="shared" si="5"/>
        <v>0.11111111111111151</v>
      </c>
      <c r="K53" s="22">
        <f t="shared" si="6"/>
        <v>0.50000000000000089</v>
      </c>
      <c r="L53" s="22">
        <f xml:space="preserve"> Q60+(R54*A53)</f>
        <v>2.5287958115183247</v>
      </c>
      <c r="M53" s="22">
        <f t="shared" si="7"/>
        <v>2.1644417642060247</v>
      </c>
      <c r="N53">
        <v>0.33333299999999999</v>
      </c>
      <c r="O53">
        <f t="shared" si="8"/>
        <v>1.333332</v>
      </c>
      <c r="P53" t="s">
        <v>90</v>
      </c>
      <c r="R53">
        <f>J57</f>
        <v>127.33333333333334</v>
      </c>
      <c r="S53" s="21" t="s">
        <v>14</v>
      </c>
      <c r="T53" s="21">
        <f>C57^2</f>
        <v>0</v>
      </c>
    </row>
    <row r="54" spans="1:20" x14ac:dyDescent="0.25">
      <c r="A54" s="22">
        <v>14</v>
      </c>
      <c r="B54" s="22">
        <v>1</v>
      </c>
      <c r="C54" s="22">
        <f>A54-T51</f>
        <v>2.3333333333333339</v>
      </c>
      <c r="D54" s="22">
        <v>3</v>
      </c>
      <c r="E54" s="22">
        <v>5.5</v>
      </c>
      <c r="F54" s="22">
        <f t="shared" si="3"/>
        <v>-2.5</v>
      </c>
      <c r="G54" s="22">
        <f t="shared" si="4"/>
        <v>6.25</v>
      </c>
      <c r="H54" s="22">
        <f>A54-T51</f>
        <v>2.3333333333333339</v>
      </c>
      <c r="I54" s="22">
        <f>B54-T50</f>
        <v>-1.5</v>
      </c>
      <c r="J54" s="22">
        <f t="shared" si="5"/>
        <v>5.4444444444444473</v>
      </c>
      <c r="K54" s="22">
        <f t="shared" si="6"/>
        <v>-3.5000000000000009</v>
      </c>
      <c r="L54" s="22">
        <f xml:space="preserve"> Q60+(R54*A54)</f>
        <v>2.7015706806282722</v>
      </c>
      <c r="M54" s="22">
        <f t="shared" si="7"/>
        <v>2.8953427811737615</v>
      </c>
      <c r="N54">
        <v>2.3333330000000001</v>
      </c>
      <c r="O54">
        <f t="shared" si="8"/>
        <v>2.3333330000000001</v>
      </c>
      <c r="P54" t="s">
        <v>89</v>
      </c>
      <c r="R54">
        <f>R52/R53</f>
        <v>8.6387434554973816E-2</v>
      </c>
      <c r="S54" s="21" t="s">
        <v>15</v>
      </c>
      <c r="T54" s="21">
        <f>SQRT(T53/B57)</f>
        <v>0</v>
      </c>
    </row>
    <row r="55" spans="1:20" x14ac:dyDescent="0.25">
      <c r="A55" s="22">
        <v>15</v>
      </c>
      <c r="B55" s="22">
        <v>4</v>
      </c>
      <c r="C55" s="22">
        <f>A55-T51</f>
        <v>3.3333333333333339</v>
      </c>
      <c r="D55" s="22">
        <v>2</v>
      </c>
      <c r="E55" s="22">
        <v>1.5</v>
      </c>
      <c r="F55" s="22">
        <f t="shared" si="3"/>
        <v>0.5</v>
      </c>
      <c r="G55" s="22">
        <f t="shared" si="4"/>
        <v>0.25</v>
      </c>
      <c r="H55" s="22">
        <f>A55-T51</f>
        <v>3.3333333333333339</v>
      </c>
      <c r="I55" s="22">
        <f>B55-T50</f>
        <v>1.5</v>
      </c>
      <c r="J55" s="22">
        <f t="shared" si="5"/>
        <v>11.111111111111114</v>
      </c>
      <c r="K55" s="22">
        <f t="shared" si="6"/>
        <v>5.0000000000000009</v>
      </c>
      <c r="L55" s="22">
        <f xml:space="preserve"> Q60+(R54*A55)</f>
        <v>2.7879581151832462</v>
      </c>
      <c r="M55" s="22">
        <f t="shared" si="7"/>
        <v>1.4690455305501491</v>
      </c>
      <c r="N55">
        <v>3.3333300000000001</v>
      </c>
      <c r="O55">
        <f t="shared" si="8"/>
        <v>13.333320000000001</v>
      </c>
      <c r="S55" s="21" t="s">
        <v>16</v>
      </c>
      <c r="T55" s="21">
        <f>T54^2</f>
        <v>0</v>
      </c>
    </row>
    <row r="56" spans="1:20" x14ac:dyDescent="0.25">
      <c r="A56" s="22">
        <v>17</v>
      </c>
      <c r="B56" s="22">
        <v>2</v>
      </c>
      <c r="C56" s="22">
        <f>A56-T51</f>
        <v>5.3333333333333339</v>
      </c>
      <c r="D56" s="22">
        <v>1</v>
      </c>
      <c r="E56" s="22">
        <v>4</v>
      </c>
      <c r="F56" s="22">
        <f t="shared" si="3"/>
        <v>-3</v>
      </c>
      <c r="G56" s="22">
        <f t="shared" si="4"/>
        <v>9</v>
      </c>
      <c r="H56" s="22">
        <f>A56-T51</f>
        <v>5.3333333333333339</v>
      </c>
      <c r="I56" s="22">
        <f>B56-T50</f>
        <v>-0.5</v>
      </c>
      <c r="J56" s="22">
        <f>H56^2</f>
        <v>28.44444444444445</v>
      </c>
      <c r="K56" s="22">
        <f t="shared" si="6"/>
        <v>-2.666666666666667</v>
      </c>
      <c r="L56" s="22">
        <f xml:space="preserve"> Q60+(R54*A56)</f>
        <v>2.9607329842931938</v>
      </c>
      <c r="M56" s="22">
        <f t="shared" si="7"/>
        <v>0.92300786710890603</v>
      </c>
      <c r="N56">
        <v>5.3333332999999996</v>
      </c>
      <c r="O56">
        <f t="shared" si="8"/>
        <v>10.666666599999999</v>
      </c>
      <c r="S56" s="21" t="s">
        <v>75</v>
      </c>
      <c r="T56" s="21">
        <f>G57</f>
        <v>26</v>
      </c>
    </row>
    <row r="57" spans="1:20" x14ac:dyDescent="0.25">
      <c r="A57" s="2">
        <f>SUM(A51:A56)</f>
        <v>70</v>
      </c>
      <c r="B57" s="2">
        <f>SUM(B51:B56)</f>
        <v>15</v>
      </c>
      <c r="C57" s="2">
        <f>SUM(C51:C56)</f>
        <v>0</v>
      </c>
      <c r="D57" s="2"/>
      <c r="E57" s="2"/>
      <c r="F57" s="2"/>
      <c r="G57" s="2">
        <f>SUM(G51:G56)</f>
        <v>26</v>
      </c>
      <c r="H57" s="2"/>
      <c r="I57" s="2"/>
      <c r="J57" s="2">
        <f>SUM(J51:J56)</f>
        <v>127.33333333333334</v>
      </c>
      <c r="K57" s="2">
        <f>SUM(K51:K56)</f>
        <v>11</v>
      </c>
      <c r="L57" s="2"/>
      <c r="M57" s="2"/>
      <c r="O57">
        <f>SUM(O51:O56)</f>
        <v>44.333319299999999</v>
      </c>
      <c r="P57" s="20" t="s">
        <v>93</v>
      </c>
      <c r="S57" s="21" t="s">
        <v>21</v>
      </c>
      <c r="T57" s="21">
        <v>6</v>
      </c>
    </row>
    <row r="58" spans="1:20" x14ac:dyDescent="0.25">
      <c r="P58" t="s">
        <v>88</v>
      </c>
      <c r="Q58">
        <f>T50</f>
        <v>2.5</v>
      </c>
      <c r="S58" s="21" t="s">
        <v>76</v>
      </c>
      <c r="T58" s="21">
        <f>T57^2</f>
        <v>36</v>
      </c>
    </row>
    <row r="59" spans="1:20" x14ac:dyDescent="0.25">
      <c r="P59" t="s">
        <v>87</v>
      </c>
      <c r="Q59">
        <f>T51</f>
        <v>11.666666666666666</v>
      </c>
      <c r="S59" s="21" t="s">
        <v>77</v>
      </c>
      <c r="T59" s="21">
        <f>36-1</f>
        <v>35</v>
      </c>
    </row>
    <row r="60" spans="1:20" x14ac:dyDescent="0.25">
      <c r="P60" t="s">
        <v>94</v>
      </c>
      <c r="Q60">
        <f>Q58-(R54*Q59)</f>
        <v>1.4921465968586389</v>
      </c>
      <c r="S60" s="21" t="s">
        <v>78</v>
      </c>
      <c r="T60" s="21">
        <f>T56*6</f>
        <v>156</v>
      </c>
    </row>
    <row r="61" spans="1:20" x14ac:dyDescent="0.25">
      <c r="S61" s="21" t="s">
        <v>79</v>
      </c>
      <c r="T61" s="21">
        <f>6*(T59)</f>
        <v>210</v>
      </c>
    </row>
    <row r="62" spans="1:20" x14ac:dyDescent="0.25">
      <c r="S62" s="21" t="s">
        <v>80</v>
      </c>
      <c r="T62" s="21">
        <f>T60/T61</f>
        <v>0.74285714285714288</v>
      </c>
    </row>
    <row r="63" spans="1:20" x14ac:dyDescent="0.25">
      <c r="A63">
        <v>20</v>
      </c>
      <c r="S63" s="21" t="s">
        <v>108</v>
      </c>
      <c r="T63" s="21">
        <f>O57/B57</f>
        <v>2.95555462</v>
      </c>
    </row>
    <row r="64" spans="1:20" x14ac:dyDescent="0.25">
      <c r="A64">
        <v>21</v>
      </c>
      <c r="H64" s="2"/>
      <c r="I64" s="2"/>
      <c r="J64" s="2"/>
      <c r="K64" s="2"/>
      <c r="L64" s="2"/>
      <c r="S64" s="21"/>
      <c r="T64" s="21"/>
    </row>
    <row r="65" spans="1:12" x14ac:dyDescent="0.25">
      <c r="A65">
        <v>22</v>
      </c>
      <c r="H65" s="2"/>
      <c r="I65" s="2" t="s">
        <v>97</v>
      </c>
      <c r="J65" s="2">
        <f>1*(30+1)/4</f>
        <v>7.75</v>
      </c>
      <c r="K65" s="2">
        <f>23+0.75*(24-23)</f>
        <v>23.75</v>
      </c>
      <c r="L65" s="2"/>
    </row>
    <row r="66" spans="1:12" x14ac:dyDescent="0.25">
      <c r="A66">
        <v>23</v>
      </c>
      <c r="H66" s="2"/>
      <c r="I66" s="2" t="s">
        <v>98</v>
      </c>
      <c r="J66" s="2">
        <f>31*2/4</f>
        <v>15.5</v>
      </c>
      <c r="K66" s="2">
        <f>27+0.5*(28-27)</f>
        <v>27.5</v>
      </c>
      <c r="L66" s="2"/>
    </row>
    <row r="67" spans="1:12" x14ac:dyDescent="0.25">
      <c r="A67">
        <v>23</v>
      </c>
      <c r="H67" s="2"/>
      <c r="I67" s="2" t="s">
        <v>99</v>
      </c>
      <c r="J67" s="2">
        <f>31*(3/4)</f>
        <v>23.25</v>
      </c>
      <c r="K67" s="2">
        <f>31+0.25*(32-31)</f>
        <v>31.25</v>
      </c>
      <c r="L67" s="2"/>
    </row>
    <row r="68" spans="1:12" x14ac:dyDescent="0.25">
      <c r="A68">
        <v>23</v>
      </c>
      <c r="H68" s="2"/>
      <c r="I68" s="2" t="s">
        <v>100</v>
      </c>
      <c r="J68" s="2"/>
      <c r="K68" s="2">
        <f>(K67-K65)/2</f>
        <v>3.75</v>
      </c>
      <c r="L68" s="2"/>
    </row>
    <row r="69" spans="1:12" x14ac:dyDescent="0.25">
      <c r="A69">
        <v>23</v>
      </c>
      <c r="H69" s="2"/>
      <c r="I69" s="2" t="s">
        <v>101</v>
      </c>
      <c r="J69" s="2"/>
      <c r="K69" s="2">
        <f>(K67-K65)/(K67+K65)*100</f>
        <v>13.636363636363635</v>
      </c>
      <c r="L69" s="2"/>
    </row>
    <row r="70" spans="1:12" x14ac:dyDescent="0.25">
      <c r="A70">
        <v>24</v>
      </c>
      <c r="H70" s="2"/>
      <c r="I70" s="2" t="s">
        <v>41</v>
      </c>
      <c r="J70" s="2"/>
      <c r="K70" s="2">
        <f>B94</f>
        <v>27.8</v>
      </c>
      <c r="L70" s="2"/>
    </row>
    <row r="71" spans="1:12" x14ac:dyDescent="0.25">
      <c r="A71">
        <v>25</v>
      </c>
      <c r="H71" s="2" t="s">
        <v>102</v>
      </c>
      <c r="I71" s="2" t="s">
        <v>19</v>
      </c>
      <c r="J71" s="2"/>
      <c r="K71" s="2">
        <f>MEDIAN(A63,A64,A65,A66,A67,A68,A69,A70,A71,A72,A73,A74,A75,A76,A77,A78,A79,A80,A81,A82,A83,A84,A85,A86,A87,A88,A89,A90,A91,A92)</f>
        <v>27.5</v>
      </c>
      <c r="L71" s="2"/>
    </row>
    <row r="72" spans="1:12" x14ac:dyDescent="0.25">
      <c r="A72">
        <v>26</v>
      </c>
      <c r="H72" s="2"/>
      <c r="I72" s="2" t="s">
        <v>25</v>
      </c>
      <c r="J72" s="2"/>
      <c r="K72" s="2">
        <f>MODE(A63,A64,A65,A66,A67,A68,A69,A70,A71,A72,A73,A74,A75,A76,A77,A78,A79,A80,A81,A82,A83,A84,A85,A86,A87,A88,A89,A90,A91,A92)</f>
        <v>23</v>
      </c>
      <c r="L72" s="2"/>
    </row>
    <row r="73" spans="1:12" x14ac:dyDescent="0.25">
      <c r="A73">
        <v>26</v>
      </c>
    </row>
    <row r="74" spans="1:12" x14ac:dyDescent="0.25">
      <c r="A74">
        <v>27</v>
      </c>
    </row>
    <row r="75" spans="1:12" x14ac:dyDescent="0.25">
      <c r="A75">
        <v>27</v>
      </c>
    </row>
    <row r="76" spans="1:12" x14ac:dyDescent="0.25">
      <c r="A76">
        <v>27</v>
      </c>
    </row>
    <row r="77" spans="1:12" x14ac:dyDescent="0.25">
      <c r="A77">
        <v>27</v>
      </c>
    </row>
    <row r="78" spans="1:12" x14ac:dyDescent="0.25">
      <c r="A78">
        <v>28</v>
      </c>
    </row>
    <row r="79" spans="1:12" x14ac:dyDescent="0.25">
      <c r="A79">
        <v>28</v>
      </c>
    </row>
    <row r="80" spans="1:12" x14ac:dyDescent="0.25">
      <c r="A80">
        <v>28</v>
      </c>
    </row>
    <row r="81" spans="1:2" x14ac:dyDescent="0.25">
      <c r="A81">
        <v>29</v>
      </c>
    </row>
    <row r="82" spans="1:2" x14ac:dyDescent="0.25">
      <c r="A82">
        <v>29</v>
      </c>
    </row>
    <row r="83" spans="1:2" x14ac:dyDescent="0.25">
      <c r="A83">
        <v>31</v>
      </c>
    </row>
    <row r="84" spans="1:2" x14ac:dyDescent="0.25">
      <c r="A84">
        <v>31</v>
      </c>
    </row>
    <row r="85" spans="1:2" x14ac:dyDescent="0.25">
      <c r="A85">
        <v>31</v>
      </c>
    </row>
    <row r="86" spans="1:2" x14ac:dyDescent="0.25">
      <c r="A86">
        <v>32</v>
      </c>
    </row>
    <row r="87" spans="1:2" x14ac:dyDescent="0.25">
      <c r="A87">
        <v>33</v>
      </c>
    </row>
    <row r="88" spans="1:2" x14ac:dyDescent="0.25">
      <c r="A88">
        <v>33</v>
      </c>
    </row>
    <row r="89" spans="1:2" x14ac:dyDescent="0.25">
      <c r="A89">
        <v>33</v>
      </c>
    </row>
    <row r="90" spans="1:2" x14ac:dyDescent="0.25">
      <c r="A90">
        <v>34</v>
      </c>
    </row>
    <row r="91" spans="1:2" x14ac:dyDescent="0.25">
      <c r="A91">
        <v>35</v>
      </c>
    </row>
    <row r="92" spans="1:2" x14ac:dyDescent="0.25">
      <c r="A92">
        <v>35</v>
      </c>
    </row>
    <row r="93" spans="1:2" x14ac:dyDescent="0.25">
      <c r="A93">
        <f>SUM(A63:A92)</f>
        <v>834</v>
      </c>
    </row>
    <row r="94" spans="1:2" x14ac:dyDescent="0.25">
      <c r="A94" t="s">
        <v>95</v>
      </c>
      <c r="B94">
        <f>AVERAGE(834/30)</f>
        <v>27.8</v>
      </c>
    </row>
    <row r="96" spans="1:2" x14ac:dyDescent="0.25">
      <c r="A96" t="s">
        <v>103</v>
      </c>
    </row>
    <row r="97" spans="1:12" x14ac:dyDescent="0.25">
      <c r="A97">
        <v>139</v>
      </c>
      <c r="I97" s="2"/>
      <c r="J97" s="2"/>
      <c r="K97" s="2"/>
      <c r="L97" s="2"/>
    </row>
    <row r="98" spans="1:12" x14ac:dyDescent="0.25">
      <c r="A98">
        <v>143</v>
      </c>
      <c r="I98" s="2" t="s">
        <v>41</v>
      </c>
      <c r="J98" s="2">
        <f>A138/40</f>
        <v>172.05</v>
      </c>
      <c r="K98" s="2"/>
      <c r="L98" s="2"/>
    </row>
    <row r="99" spans="1:12" x14ac:dyDescent="0.25">
      <c r="A99">
        <v>143</v>
      </c>
      <c r="I99" s="2" t="s">
        <v>96</v>
      </c>
      <c r="J99" s="2">
        <f>41*1/4</f>
        <v>10.25</v>
      </c>
      <c r="K99" s="2">
        <f>155+0.25*(155-155)</f>
        <v>155</v>
      </c>
      <c r="L99" s="2"/>
    </row>
    <row r="100" spans="1:12" x14ac:dyDescent="0.25">
      <c r="A100">
        <v>145</v>
      </c>
      <c r="I100" s="2" t="s">
        <v>104</v>
      </c>
      <c r="J100" s="2">
        <f>41*2/4</f>
        <v>20.5</v>
      </c>
      <c r="K100" s="2">
        <f>170+0.5*(170-170)</f>
        <v>170</v>
      </c>
      <c r="L100" s="2"/>
    </row>
    <row r="101" spans="1:12" x14ac:dyDescent="0.25">
      <c r="A101">
        <v>149</v>
      </c>
      <c r="I101" s="2" t="s">
        <v>99</v>
      </c>
      <c r="J101" s="2">
        <f>41*3/4</f>
        <v>30.75</v>
      </c>
      <c r="K101" s="2">
        <f>178+0.75*(179-178)</f>
        <v>178.75</v>
      </c>
      <c r="L101" s="2"/>
    </row>
    <row r="102" spans="1:12" x14ac:dyDescent="0.25">
      <c r="A102">
        <v>149</v>
      </c>
      <c r="I102" s="2" t="s">
        <v>105</v>
      </c>
      <c r="J102" s="2"/>
      <c r="K102" s="2">
        <f>(K101-K99)/2</f>
        <v>11.875</v>
      </c>
      <c r="L102" s="2"/>
    </row>
    <row r="103" spans="1:12" x14ac:dyDescent="0.25">
      <c r="A103">
        <v>150</v>
      </c>
      <c r="I103" s="2" t="s">
        <v>106</v>
      </c>
      <c r="J103" s="2"/>
      <c r="K103" s="2">
        <f>(K101-K99)/(K101+K99)*100</f>
        <v>7.1161048689138573</v>
      </c>
      <c r="L103" s="2"/>
    </row>
    <row r="104" spans="1:12" x14ac:dyDescent="0.25">
      <c r="A104">
        <v>150</v>
      </c>
      <c r="I104" s="2" t="s">
        <v>19</v>
      </c>
      <c r="J104" s="2"/>
      <c r="K104" s="2">
        <f>MEDIAN(A97,A98,A99,A100,A101,A102,A103,A104,A105,A106,A107,A108,A109,A110,A111,A112,A113,A114,A115,A116,A117,A118,A119,A120,A121,A122,A123,A124,A125,A126,A127,A128,A129,A130,A131,A132,A133,A134,A135,A136,A137)</f>
        <v>170</v>
      </c>
      <c r="L104" s="2"/>
    </row>
    <row r="105" spans="1:12" x14ac:dyDescent="0.25">
      <c r="A105">
        <v>152</v>
      </c>
      <c r="I105" s="2" t="s">
        <v>25</v>
      </c>
      <c r="J105" s="2"/>
      <c r="K105" s="2">
        <f>MODE(A97,A98,A99,A100,A101,A102,A103,A104,A105,A106,A107,A108,A109,A110,A111,A112,A113,A114,A115,A116,A117,A118,A119,A120,A121,A122,A123,A124,A125,A126,A127,A128,A129,A130,A131,A132,A133,A134,A135,A136,A137)</f>
        <v>170</v>
      </c>
      <c r="L105" s="2"/>
    </row>
    <row r="106" spans="1:12" x14ac:dyDescent="0.25">
      <c r="A106">
        <v>155</v>
      </c>
      <c r="I106" s="2"/>
      <c r="J106" s="2"/>
      <c r="K106" s="2"/>
      <c r="L106" s="2"/>
    </row>
    <row r="107" spans="1:12" x14ac:dyDescent="0.25">
      <c r="A107">
        <v>155</v>
      </c>
    </row>
    <row r="108" spans="1:12" x14ac:dyDescent="0.25">
      <c r="A108">
        <v>158</v>
      </c>
    </row>
    <row r="109" spans="1:12" x14ac:dyDescent="0.25">
      <c r="A109">
        <v>159</v>
      </c>
    </row>
    <row r="110" spans="1:12" x14ac:dyDescent="0.25">
      <c r="A110">
        <v>161</v>
      </c>
    </row>
    <row r="111" spans="1:12" x14ac:dyDescent="0.25">
      <c r="A111">
        <v>163</v>
      </c>
    </row>
    <row r="112" spans="1:12" x14ac:dyDescent="0.25">
      <c r="A112">
        <v>165</v>
      </c>
    </row>
    <row r="113" spans="1:1" x14ac:dyDescent="0.25">
      <c r="A113">
        <v>167</v>
      </c>
    </row>
    <row r="114" spans="1:1" x14ac:dyDescent="0.25">
      <c r="A114">
        <v>169</v>
      </c>
    </row>
    <row r="115" spans="1:1" x14ac:dyDescent="0.25">
      <c r="A115">
        <v>170</v>
      </c>
    </row>
    <row r="116" spans="1:1" x14ac:dyDescent="0.25">
      <c r="A116">
        <v>170</v>
      </c>
    </row>
    <row r="117" spans="1:1" x14ac:dyDescent="0.25">
      <c r="A117">
        <v>170</v>
      </c>
    </row>
    <row r="118" spans="1:1" x14ac:dyDescent="0.25">
      <c r="A118">
        <v>170</v>
      </c>
    </row>
    <row r="119" spans="1:1" x14ac:dyDescent="0.25">
      <c r="A119">
        <v>171</v>
      </c>
    </row>
    <row r="120" spans="1:1" x14ac:dyDescent="0.25">
      <c r="A120">
        <v>172</v>
      </c>
    </row>
    <row r="121" spans="1:1" x14ac:dyDescent="0.25">
      <c r="A121">
        <v>174</v>
      </c>
    </row>
    <row r="122" spans="1:1" x14ac:dyDescent="0.25">
      <c r="A122">
        <v>174</v>
      </c>
    </row>
    <row r="123" spans="1:1" x14ac:dyDescent="0.25">
      <c r="A123">
        <v>174</v>
      </c>
    </row>
    <row r="124" spans="1:1" x14ac:dyDescent="0.25">
      <c r="A124">
        <v>177</v>
      </c>
    </row>
    <row r="125" spans="1:1" x14ac:dyDescent="0.25">
      <c r="A125">
        <v>177</v>
      </c>
    </row>
    <row r="126" spans="1:1" x14ac:dyDescent="0.25">
      <c r="A126">
        <v>178</v>
      </c>
    </row>
    <row r="127" spans="1:1" x14ac:dyDescent="0.25">
      <c r="A127">
        <v>179</v>
      </c>
    </row>
    <row r="128" spans="1:1" x14ac:dyDescent="0.25">
      <c r="A128">
        <v>181</v>
      </c>
    </row>
    <row r="129" spans="1:2" x14ac:dyDescent="0.25">
      <c r="A129">
        <v>182</v>
      </c>
    </row>
    <row r="130" spans="1:2" x14ac:dyDescent="0.25">
      <c r="A130">
        <v>182</v>
      </c>
    </row>
    <row r="131" spans="1:2" x14ac:dyDescent="0.25">
      <c r="A131">
        <v>183</v>
      </c>
    </row>
    <row r="132" spans="1:2" x14ac:dyDescent="0.25">
      <c r="A132">
        <v>183</v>
      </c>
    </row>
    <row r="133" spans="1:2" x14ac:dyDescent="0.25">
      <c r="A133">
        <v>185</v>
      </c>
    </row>
    <row r="134" spans="1:2" x14ac:dyDescent="0.25">
      <c r="A134">
        <v>187</v>
      </c>
    </row>
    <row r="135" spans="1:2" x14ac:dyDescent="0.25">
      <c r="A135">
        <v>190</v>
      </c>
    </row>
    <row r="136" spans="1:2" x14ac:dyDescent="0.25">
      <c r="A136">
        <v>190</v>
      </c>
    </row>
    <row r="137" spans="1:2" x14ac:dyDescent="0.25">
      <c r="A137">
        <v>191</v>
      </c>
    </row>
    <row r="138" spans="1:2" x14ac:dyDescent="0.25">
      <c r="A138">
        <f>SUM(A97:A137)</f>
        <v>6882</v>
      </c>
    </row>
    <row r="139" spans="1:2" x14ac:dyDescent="0.25">
      <c r="A139" t="s">
        <v>41</v>
      </c>
      <c r="B139">
        <f>AVERAGE(6882/40)</f>
        <v>172.05</v>
      </c>
    </row>
  </sheetData>
  <sortState ref="A97:B137">
    <sortCondition ref="A9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919995425520</dc:creator>
  <cp:lastModifiedBy>919995425520</cp:lastModifiedBy>
  <dcterms:created xsi:type="dcterms:W3CDTF">2022-01-28T08:55:03Z</dcterms:created>
  <dcterms:modified xsi:type="dcterms:W3CDTF">2022-01-31T10:23:28Z</dcterms:modified>
</cp:coreProperties>
</file>