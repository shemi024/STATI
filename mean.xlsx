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0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V188" i="1" l="1"/>
  <c r="S191" i="1" s="1"/>
  <c r="V182" i="1"/>
  <c r="S188" i="1"/>
  <c r="S183" i="1"/>
  <c r="H182" i="1"/>
  <c r="H181" i="1"/>
  <c r="H180" i="1"/>
  <c r="H179" i="1"/>
  <c r="H183" i="1"/>
  <c r="S176" i="1" s="1"/>
  <c r="H178" i="1"/>
  <c r="F178" i="1"/>
  <c r="S190" i="1" l="1"/>
  <c r="D62" i="1" l="1"/>
  <c r="E47" i="1" l="1"/>
  <c r="J79" i="1"/>
  <c r="J78" i="1"/>
  <c r="J77" i="1"/>
  <c r="S180" i="1" l="1"/>
  <c r="S181" i="1" s="1"/>
  <c r="I88" i="1"/>
  <c r="I87" i="1"/>
  <c r="S179" i="1"/>
  <c r="F183" i="1"/>
  <c r="F182" i="1"/>
  <c r="F181" i="1"/>
  <c r="F180" i="1"/>
  <c r="F179" i="1"/>
  <c r="C186" i="1"/>
  <c r="E182" i="1"/>
  <c r="E181" i="1"/>
  <c r="E180" i="1"/>
  <c r="E179" i="1"/>
  <c r="E178" i="1"/>
  <c r="E183" i="1"/>
  <c r="D183" i="1"/>
  <c r="D182" i="1"/>
  <c r="D181" i="1"/>
  <c r="D180" i="1"/>
  <c r="D179" i="1"/>
  <c r="I86" i="1"/>
  <c r="F88" i="1"/>
  <c r="F87" i="1"/>
  <c r="F86" i="1"/>
  <c r="F85" i="1"/>
  <c r="F84" i="1"/>
  <c r="F69" i="1"/>
  <c r="I85" i="1"/>
  <c r="I84" i="1"/>
  <c r="I83" i="1"/>
  <c r="F78" i="1" l="1"/>
  <c r="F77" i="1"/>
  <c r="F72" i="1"/>
  <c r="F71" i="1"/>
  <c r="F76" i="1"/>
  <c r="F75" i="1"/>
  <c r="F74" i="1"/>
  <c r="F73" i="1"/>
  <c r="F70" i="1"/>
  <c r="J76" i="1"/>
  <c r="J74" i="1"/>
  <c r="J75" i="1"/>
  <c r="I73" i="1"/>
  <c r="I72" i="1"/>
  <c r="I71" i="1"/>
  <c r="B183" i="1" l="1"/>
  <c r="B172" i="1"/>
  <c r="A171" i="1"/>
  <c r="B125" i="1"/>
  <c r="A124" i="1"/>
  <c r="E89" i="1"/>
  <c r="E88" i="1"/>
  <c r="C88" i="1"/>
  <c r="E78" i="1"/>
  <c r="B78" i="1"/>
  <c r="B63" i="1"/>
  <c r="B47" i="1"/>
  <c r="D33" i="1"/>
  <c r="D32" i="1"/>
  <c r="B32" i="1"/>
  <c r="B16" i="1"/>
  <c r="A16" i="1"/>
  <c r="A1048576" i="1" s="1"/>
</calcChain>
</file>

<file path=xl/sharedStrings.xml><?xml version="1.0" encoding="utf-8"?>
<sst xmlns="http://schemas.openxmlformats.org/spreadsheetml/2006/main" count="133" uniqueCount="96">
  <si>
    <t>15-19</t>
  </si>
  <si>
    <t>10-14</t>
  </si>
  <si>
    <t>20-24</t>
  </si>
  <si>
    <t>25-29</t>
  </si>
  <si>
    <t>30-34</t>
  </si>
  <si>
    <t>35-39</t>
  </si>
  <si>
    <t>40-44</t>
  </si>
  <si>
    <t>45-49</t>
  </si>
  <si>
    <t>50-54</t>
  </si>
  <si>
    <t>X</t>
  </si>
  <si>
    <t>F</t>
  </si>
  <si>
    <t xml:space="preserve">       Xm</t>
  </si>
  <si>
    <t xml:space="preserve">           Fxm</t>
  </si>
  <si>
    <t xml:space="preserve">mean </t>
  </si>
  <si>
    <t>Mean for grouped data</t>
  </si>
  <si>
    <t>MEDIAN FOR GROUPED DATA</t>
  </si>
  <si>
    <t xml:space="preserve">        X</t>
  </si>
  <si>
    <t xml:space="preserve">         F</t>
  </si>
  <si>
    <t xml:space="preserve">        CF</t>
  </si>
  <si>
    <t>MEADIAN=35+(3/9)*5</t>
  </si>
  <si>
    <t>MODE FOR GROUPED DATA</t>
  </si>
  <si>
    <t xml:space="preserve">        F</t>
  </si>
  <si>
    <t xml:space="preserve"> </t>
  </si>
  <si>
    <r>
      <t xml:space="preserve">  </t>
    </r>
    <r>
      <rPr>
        <b/>
        <sz val="11"/>
        <color theme="1"/>
        <rFont val="Calibri"/>
        <family val="2"/>
        <scheme val="minor"/>
      </rPr>
      <t>weights</t>
    </r>
  </si>
  <si>
    <t>No.of students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</si>
  <si>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</si>
  <si>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</si>
  <si>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</si>
  <si>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</si>
  <si>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</si>
  <si>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</si>
  <si>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</si>
  <si>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</si>
  <si>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</si>
  <si>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Total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</si>
  <si>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 xm</t>
    </r>
  </si>
  <si>
    <t xml:space="preserve">   fxm</t>
  </si>
  <si>
    <t>Mean</t>
  </si>
  <si>
    <t>No.of pets</t>
  </si>
  <si>
    <t>Frequency</t>
  </si>
  <si>
    <t>1-2</t>
  </si>
  <si>
    <t>3-4</t>
  </si>
  <si>
    <t>5-6</t>
  </si>
  <si>
    <t>7-8</t>
  </si>
  <si>
    <r>
      <t xml:space="preserve">        </t>
    </r>
    <r>
      <rPr>
        <b/>
        <sz val="11"/>
        <color theme="1"/>
        <rFont val="Calibri"/>
        <family val="2"/>
        <scheme val="minor"/>
      </rPr>
      <t xml:space="preserve"> xm</t>
    </r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</si>
  <si>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   fxm</t>
    </r>
  </si>
  <si>
    <t xml:space="preserve">Mean </t>
  </si>
  <si>
    <t>height of students</t>
  </si>
  <si>
    <t>mean</t>
  </si>
  <si>
    <t>median and mode</t>
  </si>
  <si>
    <t>Range</t>
  </si>
  <si>
    <t>1-10</t>
  </si>
  <si>
    <t>11-20</t>
  </si>
  <si>
    <t>21-30</t>
  </si>
  <si>
    <t>31-40</t>
  </si>
  <si>
    <t>41-50</t>
  </si>
  <si>
    <r>
      <t xml:space="preserve">          </t>
    </r>
    <r>
      <rPr>
        <b/>
        <sz val="11"/>
        <color theme="1"/>
        <rFont val="Calibri"/>
        <family val="2"/>
        <scheme val="minor"/>
      </rPr>
      <t>Cf</t>
    </r>
  </si>
  <si>
    <t>total</t>
  </si>
  <si>
    <t>median</t>
  </si>
  <si>
    <t>Mode</t>
  </si>
  <si>
    <t>Q1</t>
  </si>
  <si>
    <t>Q2</t>
  </si>
  <si>
    <t>Q3</t>
  </si>
  <si>
    <t>Qd</t>
  </si>
  <si>
    <t>interQ</t>
  </si>
  <si>
    <t>coefficient of Qd</t>
  </si>
  <si>
    <t xml:space="preserve">   x-mean</t>
  </si>
  <si>
    <t>sd</t>
  </si>
  <si>
    <t>total(x-mean)^2</t>
  </si>
  <si>
    <t>variance</t>
  </si>
  <si>
    <r>
      <t xml:space="preserve">  </t>
    </r>
    <r>
      <rPr>
        <b/>
        <sz val="11"/>
        <color theme="1"/>
        <rFont val="Calibri"/>
        <family val="2"/>
        <scheme val="minor"/>
      </rPr>
      <t xml:space="preserve"> x-mean</t>
    </r>
  </si>
  <si>
    <t xml:space="preserve"> total(x-mean)^2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</si>
  <si>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 xm</t>
    </r>
  </si>
  <si>
    <r>
      <t xml:space="preserve">   </t>
    </r>
    <r>
      <rPr>
        <b/>
        <sz val="11"/>
        <color theme="1"/>
        <rFont val="Calibri"/>
        <family val="2"/>
        <scheme val="minor"/>
      </rPr>
      <t>fxm</t>
    </r>
  </si>
  <si>
    <t>TOTAL(X-MEAN)^2</t>
  </si>
  <si>
    <t>SD</t>
  </si>
  <si>
    <t>VARIANCE</t>
  </si>
  <si>
    <t xml:space="preserve">     earing x</t>
  </si>
  <si>
    <t xml:space="preserve">      f</t>
  </si>
  <si>
    <t>0-20</t>
  </si>
  <si>
    <t>20-30</t>
  </si>
  <si>
    <t>30-40</t>
  </si>
  <si>
    <t>40-60</t>
  </si>
  <si>
    <t>60-80</t>
  </si>
  <si>
    <t xml:space="preserve">       </t>
  </si>
  <si>
    <t>|x-mean|</t>
  </si>
  <si>
    <t>|x-mean|*f</t>
  </si>
  <si>
    <t>dm</t>
  </si>
  <si>
    <t>n</t>
  </si>
  <si>
    <t>L</t>
  </si>
  <si>
    <t>f</t>
  </si>
  <si>
    <t>cf</t>
  </si>
  <si>
    <t>i</t>
  </si>
  <si>
    <t>l</t>
  </si>
  <si>
    <t>QD</t>
  </si>
  <si>
    <t>C QD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</si>
</sst>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17" fontId="0" fillId="0" borderId="0" xfId="0" applyNumberFormat="1"/>
    <xf numFmtId="49" fontId="0" fillId="0" borderId="0" xfId="0" applyNumberFormat="1"/>
    <xf numFmtId="0" fontId="0" fillId="3" borderId="0" xfId="0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0" fillId="6" borderId="0" xfId="0" applyFill="1"/>
    <xf numFmtId="0" fontId="4" fillId="0" borderId="0" xfId="0" applyFont="1"/>
    <xf numFmtId="0" fontId="3" fillId="7" borderId="0" xfId="0" applyFont="1" applyFill="1"/>
    <xf numFmtId="49" fontId="0" fillId="8" borderId="0" xfId="0" applyNumberFormat="1" applyFill="1"/>
    <xf numFmtId="0" fontId="0" fillId="8" borderId="0" xfId="0" applyFill="1"/>
    <xf numFmtId="0" fontId="5" fillId="0" borderId="0" xfId="0" applyFont="1"/>
    <xf numFmtId="0" fontId="6" fillId="9" borderId="0" xfId="0" applyFont="1" applyFill="1"/>
    <xf numFmtId="49" fontId="7" fillId="3" borderId="0" xfId="0" applyNumberFormat="1" applyFont="1" applyFill="1"/>
    <xf numFmtId="0" fontId="7" fillId="3" borderId="0" xfId="0" applyFont="1" applyFill="1"/>
    <xf numFmtId="0" fontId="0" fillId="9" borderId="0" xfId="0" applyFill="1"/>
    <xf numFmtId="49" fontId="0" fillId="10" borderId="0" xfId="0" applyNumberFormat="1" applyFill="1"/>
    <xf numFmtId="0" fontId="0" fillId="10" borderId="0" xfId="0" applyFill="1"/>
    <xf numFmtId="0" fontId="1" fillId="2" borderId="0" xfId="1"/>
    <xf numFmtId="0" fontId="2" fillId="8" borderId="0" xfId="0" applyFont="1" applyFill="1"/>
    <xf numFmtId="0" fontId="2" fillId="9" borderId="0" xfId="0" applyFont="1" applyFill="1"/>
    <xf numFmtId="0" fontId="0" fillId="11" borderId="0" xfId="0" applyFill="1"/>
    <xf numFmtId="0" fontId="6" fillId="8" borderId="0" xfId="0" applyFont="1" applyFill="1"/>
    <xf numFmtId="0" fontId="2" fillId="12" borderId="0" xfId="0" applyFont="1" applyFill="1"/>
    <xf numFmtId="0" fontId="0" fillId="12" borderId="0" xfId="0" applyFill="1"/>
    <xf numFmtId="49" fontId="2" fillId="8" borderId="0" xfId="0" applyNumberFormat="1" applyFont="1" applyFill="1"/>
    <xf numFmtId="49" fontId="0" fillId="13" borderId="0" xfId="0" applyNumberFormat="1" applyFill="1"/>
    <xf numFmtId="0" fontId="0" fillId="13" borderId="0" xfId="0" applyFill="1"/>
    <xf numFmtId="0" fontId="0" fillId="14" borderId="0" xfId="0" applyFill="1"/>
    <xf numFmtId="49" fontId="2" fillId="15" borderId="0" xfId="0" applyNumberFormat="1" applyFont="1" applyFill="1"/>
    <xf numFmtId="0" fontId="0" fillId="15" borderId="0" xfId="0" applyFill="1"/>
    <xf numFmtId="0" fontId="0" fillId="16" borderId="0" xfId="0" applyFill="1"/>
    <xf numFmtId="49" fontId="0" fillId="14" borderId="0" xfId="0" applyNumberFormat="1" applyFont="1" applyFill="1"/>
    <xf numFmtId="0" fontId="0" fillId="14" borderId="0" xfId="0" applyFont="1" applyFill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048576"/>
  <sheetViews>
    <sheetView tabSelected="1" zoomScale="115" zoomScaleNormal="115" workbookViewId="0">
      <selection activeCell="L185" sqref="L185"/>
    </sheetView>
  </sheetViews>
  <sheetFormatPr defaultRowHeight="15" x14ac:dyDescent="0.25"/>
  <cols>
    <col min="1" max="1" width="9.5703125" customWidth="1"/>
    <col min="6" max="6" width="10.7109375" customWidth="1"/>
    <col min="7" max="7" width="11" customWidth="1"/>
    <col min="8" max="8" width="18.85546875" customWidth="1"/>
  </cols>
  <sheetData>
    <row r="2" spans="1:7" x14ac:dyDescent="0.25">
      <c r="A2">
        <v>20</v>
      </c>
    </row>
    <row r="3" spans="1:7" x14ac:dyDescent="0.25">
      <c r="A3">
        <v>18</v>
      </c>
    </row>
    <row r="4" spans="1:7" x14ac:dyDescent="0.25">
      <c r="A4">
        <v>18</v>
      </c>
    </row>
    <row r="5" spans="1:7" x14ac:dyDescent="0.25">
      <c r="A5">
        <v>17</v>
      </c>
    </row>
    <row r="6" spans="1:7" x14ac:dyDescent="0.25">
      <c r="A6">
        <v>15</v>
      </c>
    </row>
    <row r="7" spans="1:7" x14ac:dyDescent="0.25">
      <c r="A7">
        <v>15</v>
      </c>
    </row>
    <row r="8" spans="1:7" x14ac:dyDescent="0.25">
      <c r="A8">
        <v>15</v>
      </c>
    </row>
    <row r="9" spans="1:7" x14ac:dyDescent="0.25">
      <c r="A9">
        <v>14</v>
      </c>
    </row>
    <row r="10" spans="1:7" x14ac:dyDescent="0.25">
      <c r="A10">
        <v>14</v>
      </c>
      <c r="G10" s="19"/>
    </row>
    <row r="11" spans="1:7" x14ac:dyDescent="0.25">
      <c r="A11">
        <v>13</v>
      </c>
    </row>
    <row r="12" spans="1:7" x14ac:dyDescent="0.25">
      <c r="A12">
        <v>12</v>
      </c>
    </row>
    <row r="13" spans="1:7" x14ac:dyDescent="0.25">
      <c r="A13">
        <v>12</v>
      </c>
    </row>
    <row r="14" spans="1:7" x14ac:dyDescent="0.25">
      <c r="A14">
        <v>10</v>
      </c>
    </row>
    <row r="15" spans="1:7" x14ac:dyDescent="0.25">
      <c r="A15">
        <v>10</v>
      </c>
    </row>
    <row r="16" spans="1:7" x14ac:dyDescent="0.25">
      <c r="A16">
        <f>SUM(A1:A15)</f>
        <v>203</v>
      </c>
      <c r="B16">
        <f>AVERAGE(A16/15)</f>
        <v>13.533333333333333</v>
      </c>
    </row>
    <row r="20" spans="1:5" x14ac:dyDescent="0.25">
      <c r="A20" s="12"/>
      <c r="B20" s="13" t="s">
        <v>14</v>
      </c>
      <c r="C20" s="13"/>
      <c r="D20" s="13"/>
    </row>
    <row r="21" spans="1:5" x14ac:dyDescent="0.25">
      <c r="A21" s="1"/>
    </row>
    <row r="22" spans="1:5" ht="15.75" x14ac:dyDescent="0.25">
      <c r="A22" s="14" t="s">
        <v>9</v>
      </c>
      <c r="B22" s="15" t="s">
        <v>10</v>
      </c>
      <c r="C22" s="15" t="s">
        <v>11</v>
      </c>
      <c r="D22" s="15" t="s">
        <v>12</v>
      </c>
      <c r="E22" s="3"/>
    </row>
    <row r="23" spans="1:5" x14ac:dyDescent="0.25">
      <c r="A23" s="10" t="s">
        <v>1</v>
      </c>
      <c r="B23" s="11">
        <v>5</v>
      </c>
      <c r="C23" s="11">
        <v>12</v>
      </c>
      <c r="D23" s="11">
        <v>60</v>
      </c>
      <c r="E23" s="11"/>
    </row>
    <row r="24" spans="1:5" x14ac:dyDescent="0.25">
      <c r="A24" s="11" t="s">
        <v>0</v>
      </c>
      <c r="B24" s="11">
        <v>2</v>
      </c>
      <c r="C24" s="11">
        <v>17</v>
      </c>
      <c r="D24" s="11">
        <v>34</v>
      </c>
      <c r="E24" s="11"/>
    </row>
    <row r="25" spans="1:5" x14ac:dyDescent="0.25">
      <c r="A25" s="11" t="s">
        <v>2</v>
      </c>
      <c r="B25" s="11">
        <v>3</v>
      </c>
      <c r="C25" s="11">
        <v>22</v>
      </c>
      <c r="D25" s="11">
        <v>66</v>
      </c>
      <c r="E25" s="11"/>
    </row>
    <row r="26" spans="1:5" x14ac:dyDescent="0.25">
      <c r="A26" s="11" t="s">
        <v>3</v>
      </c>
      <c r="B26" s="11">
        <v>5</v>
      </c>
      <c r="C26" s="11">
        <v>27</v>
      </c>
      <c r="D26" s="11">
        <v>135</v>
      </c>
      <c r="E26" s="11"/>
    </row>
    <row r="27" spans="1:5" x14ac:dyDescent="0.25">
      <c r="A27" s="11" t="s">
        <v>4</v>
      </c>
      <c r="B27" s="11">
        <v>2</v>
      </c>
      <c r="C27" s="11">
        <v>32</v>
      </c>
      <c r="D27" s="11">
        <v>64</v>
      </c>
      <c r="E27" s="11"/>
    </row>
    <row r="28" spans="1:5" x14ac:dyDescent="0.25">
      <c r="A28" s="11" t="s">
        <v>5</v>
      </c>
      <c r="B28" s="11">
        <v>9</v>
      </c>
      <c r="C28" s="11">
        <v>37</v>
      </c>
      <c r="D28" s="11">
        <v>333</v>
      </c>
      <c r="E28" s="11"/>
    </row>
    <row r="29" spans="1:5" x14ac:dyDescent="0.25">
      <c r="A29" s="11" t="s">
        <v>6</v>
      </c>
      <c r="B29" s="11">
        <v>6</v>
      </c>
      <c r="C29" s="11">
        <v>42</v>
      </c>
      <c r="D29" s="11">
        <v>252</v>
      </c>
      <c r="E29" s="11"/>
    </row>
    <row r="30" spans="1:5" x14ac:dyDescent="0.25">
      <c r="A30" s="11" t="s">
        <v>7</v>
      </c>
      <c r="B30" s="11">
        <v>3</v>
      </c>
      <c r="C30" s="11">
        <v>47</v>
      </c>
      <c r="D30" s="11">
        <v>141</v>
      </c>
      <c r="E30" s="11"/>
    </row>
    <row r="31" spans="1:5" x14ac:dyDescent="0.25">
      <c r="A31" s="11"/>
      <c r="B31" s="11">
        <v>5</v>
      </c>
      <c r="C31" s="11">
        <v>52</v>
      </c>
      <c r="D31" s="11">
        <v>260</v>
      </c>
      <c r="E31" s="11"/>
    </row>
    <row r="32" spans="1:5" x14ac:dyDescent="0.25">
      <c r="A32" s="11"/>
      <c r="B32" s="11">
        <f>SUM(B23:B31)</f>
        <v>40</v>
      </c>
      <c r="C32" s="11"/>
      <c r="D32" s="11">
        <f>SUM(D23:D31)</f>
        <v>1345</v>
      </c>
      <c r="E32" s="11"/>
    </row>
    <row r="33" spans="1:5" x14ac:dyDescent="0.25">
      <c r="A33" s="11" t="s">
        <v>13</v>
      </c>
      <c r="B33" s="11"/>
      <c r="C33" s="11"/>
      <c r="D33" s="11">
        <f>AVERAGE(1345/40)</f>
        <v>33.625</v>
      </c>
      <c r="E33" s="11"/>
    </row>
    <row r="36" spans="1:5" x14ac:dyDescent="0.25">
      <c r="B36" t="s">
        <v>15</v>
      </c>
    </row>
    <row r="37" spans="1:5" x14ac:dyDescent="0.25">
      <c r="A37" s="4" t="s">
        <v>16</v>
      </c>
      <c r="B37" s="4" t="s">
        <v>17</v>
      </c>
      <c r="C37" s="4" t="s">
        <v>18</v>
      </c>
    </row>
    <row r="38" spans="1:5" x14ac:dyDescent="0.25">
      <c r="A38" s="5" t="s">
        <v>1</v>
      </c>
      <c r="B38" s="6">
        <v>5</v>
      </c>
      <c r="C38" s="6">
        <v>5</v>
      </c>
    </row>
    <row r="39" spans="1:5" x14ac:dyDescent="0.25">
      <c r="A39" s="6" t="s">
        <v>0</v>
      </c>
      <c r="B39" s="6">
        <v>2</v>
      </c>
      <c r="C39" s="6">
        <v>7</v>
      </c>
    </row>
    <row r="40" spans="1:5" x14ac:dyDescent="0.25">
      <c r="A40" s="6" t="s">
        <v>2</v>
      </c>
      <c r="B40" s="6">
        <v>3</v>
      </c>
      <c r="C40" s="6">
        <v>10</v>
      </c>
    </row>
    <row r="41" spans="1:5" x14ac:dyDescent="0.25">
      <c r="A41" s="6" t="s">
        <v>3</v>
      </c>
      <c r="B41" s="6">
        <v>5</v>
      </c>
      <c r="C41" s="6">
        <v>15</v>
      </c>
    </row>
    <row r="42" spans="1:5" x14ac:dyDescent="0.25">
      <c r="A42" s="6" t="s">
        <v>4</v>
      </c>
      <c r="B42" s="6">
        <v>2</v>
      </c>
      <c r="C42" s="6">
        <v>17</v>
      </c>
    </row>
    <row r="43" spans="1:5" x14ac:dyDescent="0.25">
      <c r="A43" s="6" t="s">
        <v>5</v>
      </c>
      <c r="B43" s="6">
        <v>9</v>
      </c>
      <c r="C43" s="6">
        <v>26</v>
      </c>
    </row>
    <row r="44" spans="1:5" x14ac:dyDescent="0.25">
      <c r="A44" s="6" t="s">
        <v>6</v>
      </c>
      <c r="B44" s="6">
        <v>6</v>
      </c>
      <c r="C44" s="6">
        <v>32</v>
      </c>
    </row>
    <row r="45" spans="1:5" x14ac:dyDescent="0.25">
      <c r="A45" s="6" t="s">
        <v>7</v>
      </c>
      <c r="B45" s="6">
        <v>3</v>
      </c>
      <c r="C45" s="6">
        <v>35</v>
      </c>
    </row>
    <row r="46" spans="1:5" x14ac:dyDescent="0.25">
      <c r="A46" s="6" t="s">
        <v>8</v>
      </c>
      <c r="B46" s="6">
        <v>5</v>
      </c>
      <c r="C46" s="6">
        <v>40</v>
      </c>
    </row>
    <row r="47" spans="1:5" x14ac:dyDescent="0.25">
      <c r="A47" s="7"/>
      <c r="B47" s="7">
        <f>SUM(B38:B46)</f>
        <v>40</v>
      </c>
      <c r="C47" s="7"/>
      <c r="D47" s="7" t="s">
        <v>19</v>
      </c>
      <c r="E47" s="7">
        <f>MEDIAN(35+(3/9)*5)</f>
        <v>36.666666666666664</v>
      </c>
    </row>
    <row r="51" spans="1:4" ht="15.75" x14ac:dyDescent="0.25">
      <c r="A51" s="8"/>
      <c r="B51" s="8" t="s">
        <v>20</v>
      </c>
      <c r="C51" s="8"/>
      <c r="D51" s="8"/>
    </row>
    <row r="53" spans="1:4" ht="15.75" x14ac:dyDescent="0.25">
      <c r="A53" s="9" t="s">
        <v>16</v>
      </c>
      <c r="B53" s="9" t="s">
        <v>21</v>
      </c>
    </row>
    <row r="54" spans="1:4" x14ac:dyDescent="0.25">
      <c r="A54" s="5" t="s">
        <v>1</v>
      </c>
      <c r="B54" s="6">
        <v>5</v>
      </c>
    </row>
    <row r="55" spans="1:4" x14ac:dyDescent="0.25">
      <c r="A55" s="6" t="s">
        <v>0</v>
      </c>
      <c r="B55" s="6">
        <v>2</v>
      </c>
    </row>
    <row r="56" spans="1:4" x14ac:dyDescent="0.25">
      <c r="A56" s="6" t="s">
        <v>2</v>
      </c>
      <c r="B56" s="6">
        <v>3</v>
      </c>
    </row>
    <row r="57" spans="1:4" x14ac:dyDescent="0.25">
      <c r="A57" s="6" t="s">
        <v>3</v>
      </c>
      <c r="B57" s="6">
        <v>5</v>
      </c>
    </row>
    <row r="58" spans="1:4" x14ac:dyDescent="0.25">
      <c r="A58" s="6" t="s">
        <v>4</v>
      </c>
      <c r="B58" s="6">
        <v>2</v>
      </c>
    </row>
    <row r="59" spans="1:4" x14ac:dyDescent="0.25">
      <c r="A59" s="6" t="s">
        <v>5</v>
      </c>
      <c r="B59" s="6">
        <v>9</v>
      </c>
    </row>
    <row r="60" spans="1:4" x14ac:dyDescent="0.25">
      <c r="A60" s="6" t="s">
        <v>6</v>
      </c>
      <c r="B60" s="6">
        <v>6</v>
      </c>
    </row>
    <row r="61" spans="1:4" x14ac:dyDescent="0.25">
      <c r="A61" s="6" t="s">
        <v>7</v>
      </c>
      <c r="B61" s="6">
        <v>3</v>
      </c>
    </row>
    <row r="62" spans="1:4" x14ac:dyDescent="0.25">
      <c r="A62" s="6" t="s">
        <v>8</v>
      </c>
      <c r="B62" s="6">
        <v>5</v>
      </c>
      <c r="D62">
        <f>35+(7/9)*5</f>
        <v>38.888888888888886</v>
      </c>
    </row>
    <row r="63" spans="1:4" x14ac:dyDescent="0.25">
      <c r="A63" s="6"/>
      <c r="B63" s="6">
        <f>SUM(B54:B62)</f>
        <v>40</v>
      </c>
    </row>
    <row r="65" spans="1:10" x14ac:dyDescent="0.25">
      <c r="A65" t="s">
        <v>22</v>
      </c>
    </row>
    <row r="68" spans="1:10" x14ac:dyDescent="0.25">
      <c r="A68" s="16" t="s">
        <v>23</v>
      </c>
      <c r="B68" s="21" t="s">
        <v>24</v>
      </c>
      <c r="C68" s="16"/>
      <c r="D68" s="16" t="s">
        <v>35</v>
      </c>
      <c r="E68" s="21" t="s">
        <v>36</v>
      </c>
      <c r="F68" s="16" t="s">
        <v>66</v>
      </c>
    </row>
    <row r="69" spans="1:10" x14ac:dyDescent="0.25">
      <c r="A69" s="22" t="s">
        <v>25</v>
      </c>
      <c r="B69" s="22">
        <v>9</v>
      </c>
      <c r="C69" s="22"/>
      <c r="D69" s="22">
        <v>33</v>
      </c>
      <c r="E69" s="22">
        <v>297</v>
      </c>
      <c r="F69" s="22">
        <f>D69-E79</f>
        <v>-10.921100000000003</v>
      </c>
    </row>
    <row r="70" spans="1:10" x14ac:dyDescent="0.25">
      <c r="A70" s="22" t="s">
        <v>26</v>
      </c>
      <c r="B70" s="22">
        <v>5</v>
      </c>
      <c r="C70" s="22"/>
      <c r="D70" s="22">
        <v>38</v>
      </c>
      <c r="E70" s="22">
        <v>190</v>
      </c>
      <c r="F70" s="22">
        <f>D70-E79</f>
        <v>-5.9211000000000027</v>
      </c>
      <c r="H70" s="29"/>
      <c r="I70" s="29"/>
      <c r="J70" s="29"/>
    </row>
    <row r="71" spans="1:10" x14ac:dyDescent="0.25">
      <c r="A71" s="22" t="s">
        <v>27</v>
      </c>
      <c r="B71" s="22">
        <v>14</v>
      </c>
      <c r="C71" s="22"/>
      <c r="D71" s="22">
        <v>43</v>
      </c>
      <c r="E71" s="22">
        <v>602</v>
      </c>
      <c r="F71" s="22">
        <f>D71-E79</f>
        <v>-0.92110000000000269</v>
      </c>
      <c r="H71" s="29" t="s">
        <v>60</v>
      </c>
      <c r="I71" s="29">
        <f>(38+1)*(1/4)</f>
        <v>9.75</v>
      </c>
      <c r="J71" s="29">
        <v>73</v>
      </c>
    </row>
    <row r="72" spans="1:10" x14ac:dyDescent="0.25">
      <c r="A72" s="22" t="s">
        <v>28</v>
      </c>
      <c r="B72" s="22">
        <v>3</v>
      </c>
      <c r="C72" s="22"/>
      <c r="D72" s="22">
        <v>48</v>
      </c>
      <c r="E72" s="22">
        <v>144</v>
      </c>
      <c r="F72" s="22">
        <f>D72-E79</f>
        <v>4.0788999999999973</v>
      </c>
      <c r="H72" s="29" t="s">
        <v>61</v>
      </c>
      <c r="I72" s="29">
        <f>39*(2/4)</f>
        <v>19.5</v>
      </c>
      <c r="J72" s="29">
        <v>60.5</v>
      </c>
    </row>
    <row r="73" spans="1:10" x14ac:dyDescent="0.25">
      <c r="A73" s="22" t="s">
        <v>29</v>
      </c>
      <c r="B73" s="22">
        <v>1</v>
      </c>
      <c r="C73" s="22"/>
      <c r="D73" s="22">
        <v>53</v>
      </c>
      <c r="E73" s="22">
        <v>53</v>
      </c>
      <c r="F73" s="22">
        <f>E73-E79</f>
        <v>9.0788999999999973</v>
      </c>
      <c r="H73" s="29" t="s">
        <v>62</v>
      </c>
      <c r="I73" s="29">
        <f>39*(3/4)</f>
        <v>29.25</v>
      </c>
      <c r="J73" s="29">
        <v>43</v>
      </c>
    </row>
    <row r="74" spans="1:10" x14ac:dyDescent="0.25">
      <c r="A74" s="22" t="s">
        <v>30</v>
      </c>
      <c r="B74" s="22">
        <v>2</v>
      </c>
      <c r="C74" s="22"/>
      <c r="D74" s="22">
        <v>58</v>
      </c>
      <c r="E74" s="22">
        <v>116</v>
      </c>
      <c r="F74" s="22">
        <f>D74-E79</f>
        <v>14.078899999999997</v>
      </c>
      <c r="H74" s="29" t="s">
        <v>63</v>
      </c>
      <c r="I74" s="29"/>
      <c r="J74" s="29">
        <f>(J73-J71)/2</f>
        <v>-15</v>
      </c>
    </row>
    <row r="75" spans="1:10" x14ac:dyDescent="0.25">
      <c r="A75" s="22" t="s">
        <v>31</v>
      </c>
      <c r="B75" s="22">
        <v>2</v>
      </c>
      <c r="C75" s="22"/>
      <c r="D75" s="22">
        <v>63</v>
      </c>
      <c r="E75" s="22">
        <v>126</v>
      </c>
      <c r="F75" s="22">
        <f>D75-E79</f>
        <v>19.078899999999997</v>
      </c>
      <c r="H75" s="29" t="s">
        <v>64</v>
      </c>
      <c r="I75" s="29" t="s">
        <v>22</v>
      </c>
      <c r="J75" s="29">
        <f>J73-J71</f>
        <v>-30</v>
      </c>
    </row>
    <row r="76" spans="1:10" x14ac:dyDescent="0.25">
      <c r="A76" s="22" t="s">
        <v>32</v>
      </c>
      <c r="B76" s="22">
        <v>1</v>
      </c>
      <c r="C76" s="22"/>
      <c r="D76" s="22">
        <v>68</v>
      </c>
      <c r="E76" s="22">
        <v>68</v>
      </c>
      <c r="F76" s="22">
        <f>D76-E79</f>
        <v>24.078899999999997</v>
      </c>
      <c r="H76" s="29" t="s">
        <v>65</v>
      </c>
      <c r="I76" s="29"/>
      <c r="J76" s="29">
        <f>(J73-J71/J73+J71)*100</f>
        <v>11430.232558139534</v>
      </c>
    </row>
    <row r="77" spans="1:10" x14ac:dyDescent="0.25">
      <c r="A77" s="22" t="s">
        <v>33</v>
      </c>
      <c r="B77" s="22">
        <v>1</v>
      </c>
      <c r="C77" s="22"/>
      <c r="D77" s="22">
        <v>73</v>
      </c>
      <c r="E77" s="22">
        <v>73</v>
      </c>
      <c r="F77" s="22">
        <f>E77-E79</f>
        <v>29.078899999999997</v>
      </c>
      <c r="H77" s="29" t="s">
        <v>68</v>
      </c>
      <c r="I77" s="29"/>
      <c r="J77" s="29">
        <f>F78^2</f>
        <v>6676.5404420099976</v>
      </c>
    </row>
    <row r="78" spans="1:10" x14ac:dyDescent="0.25">
      <c r="A78" s="23" t="s">
        <v>34</v>
      </c>
      <c r="B78" s="11">
        <f>SUM(B69:B77)</f>
        <v>38</v>
      </c>
      <c r="C78" s="11"/>
      <c r="D78" s="11"/>
      <c r="E78" s="11">
        <f>SUM(E69:E77)</f>
        <v>1669</v>
      </c>
      <c r="F78">
        <f>SUM(F69:F77)</f>
        <v>81.710099999999983</v>
      </c>
      <c r="H78" s="29" t="s">
        <v>67</v>
      </c>
      <c r="I78" s="29"/>
      <c r="J78" s="29">
        <f>SQRT(J77/38)</f>
        <v>13.255128542736719</v>
      </c>
    </row>
    <row r="79" spans="1:10" x14ac:dyDescent="0.25">
      <c r="A79" s="20" t="s">
        <v>37</v>
      </c>
      <c r="B79" s="11"/>
      <c r="C79" s="11"/>
      <c r="D79" s="11"/>
      <c r="E79" s="11">
        <v>43.921100000000003</v>
      </c>
      <c r="H79" s="29" t="s">
        <v>69</v>
      </c>
      <c r="I79" s="29"/>
      <c r="J79" s="29">
        <f>J78^2</f>
        <v>175.69843268447366</v>
      </c>
    </row>
    <row r="82" spans="1:10" x14ac:dyDescent="0.25">
      <c r="H82" s="32"/>
      <c r="I82" s="32"/>
      <c r="J82" s="32"/>
    </row>
    <row r="83" spans="1:10" x14ac:dyDescent="0.25">
      <c r="A83" s="24" t="s">
        <v>38</v>
      </c>
      <c r="B83" s="25"/>
      <c r="C83" s="24" t="s">
        <v>39</v>
      </c>
      <c r="D83" s="25" t="s">
        <v>44</v>
      </c>
      <c r="E83" s="25" t="s">
        <v>45</v>
      </c>
      <c r="F83" s="25" t="s">
        <v>70</v>
      </c>
      <c r="H83" s="32" t="s">
        <v>60</v>
      </c>
      <c r="I83" s="32">
        <f>(15+1)*1/4</f>
        <v>4</v>
      </c>
      <c r="J83" s="32"/>
    </row>
    <row r="84" spans="1:10" x14ac:dyDescent="0.25">
      <c r="A84" s="27" t="s">
        <v>40</v>
      </c>
      <c r="B84" s="28"/>
      <c r="C84" s="28">
        <v>7</v>
      </c>
      <c r="D84" s="28">
        <v>1.5</v>
      </c>
      <c r="E84" s="28">
        <v>10.5</v>
      </c>
      <c r="F84" s="32">
        <f>D84-E89</f>
        <v>-2</v>
      </c>
      <c r="H84" s="32" t="s">
        <v>61</v>
      </c>
      <c r="I84" s="32">
        <f>15*2/4</f>
        <v>7.5</v>
      </c>
      <c r="J84" s="32"/>
    </row>
    <row r="85" spans="1:10" x14ac:dyDescent="0.25">
      <c r="A85" s="27" t="s">
        <v>41</v>
      </c>
      <c r="B85" s="28"/>
      <c r="C85" s="28">
        <v>3</v>
      </c>
      <c r="D85" s="28">
        <v>3.5</v>
      </c>
      <c r="E85" s="28">
        <v>10.5</v>
      </c>
      <c r="F85" s="32">
        <f>D85-E89</f>
        <v>0</v>
      </c>
      <c r="H85" s="32" t="s">
        <v>62</v>
      </c>
      <c r="I85" s="32">
        <f>15*3/4</f>
        <v>11.25</v>
      </c>
      <c r="J85" s="32"/>
    </row>
    <row r="86" spans="1:10" x14ac:dyDescent="0.25">
      <c r="A86" s="27" t="s">
        <v>42</v>
      </c>
      <c r="B86" s="28"/>
      <c r="C86" s="28">
        <v>3</v>
      </c>
      <c r="D86" s="28">
        <v>5.5</v>
      </c>
      <c r="E86" s="28">
        <v>16.5</v>
      </c>
      <c r="F86" s="32">
        <f>D86-E89</f>
        <v>2</v>
      </c>
      <c r="H86" s="32" t="s">
        <v>71</v>
      </c>
      <c r="I86" s="32">
        <f>(F88)^2</f>
        <v>16</v>
      </c>
      <c r="J86" s="32"/>
    </row>
    <row r="87" spans="1:10" x14ac:dyDescent="0.25">
      <c r="A87" s="27" t="s">
        <v>43</v>
      </c>
      <c r="B87" s="28"/>
      <c r="C87" s="28">
        <v>2</v>
      </c>
      <c r="D87" s="28">
        <v>7.5</v>
      </c>
      <c r="E87" s="28">
        <v>15</v>
      </c>
      <c r="F87" s="32">
        <f>D87-E89</f>
        <v>4</v>
      </c>
      <c r="H87" s="32" t="s">
        <v>67</v>
      </c>
      <c r="I87" s="32">
        <f>SQRT(I86/15)</f>
        <v>1.0327955589886444</v>
      </c>
      <c r="J87" s="32"/>
    </row>
    <row r="88" spans="1:10" x14ac:dyDescent="0.25">
      <c r="A88" s="30" t="s">
        <v>34</v>
      </c>
      <c r="B88" s="31"/>
      <c r="C88" s="31">
        <f>SUM(C84:C87)</f>
        <v>15</v>
      </c>
      <c r="D88" s="31"/>
      <c r="E88" s="31">
        <f>SUM(E84:E87)</f>
        <v>52.5</v>
      </c>
      <c r="F88" s="31">
        <f>SUM(F84:F87)</f>
        <v>4</v>
      </c>
      <c r="H88" s="32" t="s">
        <v>69</v>
      </c>
      <c r="I88" s="32">
        <f>(I87)^2</f>
        <v>1.0666666666666664</v>
      </c>
      <c r="J88" s="32"/>
    </row>
    <row r="89" spans="1:10" x14ac:dyDescent="0.25">
      <c r="A89" s="30" t="s">
        <v>37</v>
      </c>
      <c r="B89" s="31"/>
      <c r="C89" s="31"/>
      <c r="D89" s="31"/>
      <c r="E89" s="31">
        <f>AVERAGE(52.5/15)</f>
        <v>3.5</v>
      </c>
      <c r="F89" s="31"/>
    </row>
    <row r="90" spans="1:10" x14ac:dyDescent="0.25">
      <c r="A90" s="2"/>
    </row>
    <row r="94" spans="1:10" x14ac:dyDescent="0.25">
      <c r="A94">
        <v>24</v>
      </c>
    </row>
    <row r="95" spans="1:10" x14ac:dyDescent="0.25">
      <c r="A95">
        <v>32</v>
      </c>
    </row>
    <row r="96" spans="1:10" x14ac:dyDescent="0.25">
      <c r="A96">
        <v>27</v>
      </c>
    </row>
    <row r="97" spans="1:1" x14ac:dyDescent="0.25">
      <c r="A97">
        <v>23</v>
      </c>
    </row>
    <row r="98" spans="1:1" x14ac:dyDescent="0.25">
      <c r="A98">
        <v>33</v>
      </c>
    </row>
    <row r="99" spans="1:1" x14ac:dyDescent="0.25">
      <c r="A99">
        <v>33</v>
      </c>
    </row>
    <row r="100" spans="1:1" x14ac:dyDescent="0.25">
      <c r="A100">
        <v>29</v>
      </c>
    </row>
    <row r="101" spans="1:1" x14ac:dyDescent="0.25">
      <c r="A101">
        <v>25</v>
      </c>
    </row>
    <row r="102" spans="1:1" x14ac:dyDescent="0.25">
      <c r="A102">
        <v>23</v>
      </c>
    </row>
    <row r="103" spans="1:1" x14ac:dyDescent="0.25">
      <c r="A103">
        <v>28</v>
      </c>
    </row>
    <row r="104" spans="1:1" x14ac:dyDescent="0.25">
      <c r="A104">
        <v>21</v>
      </c>
    </row>
    <row r="105" spans="1:1" x14ac:dyDescent="0.25">
      <c r="A105">
        <v>26</v>
      </c>
    </row>
    <row r="106" spans="1:1" x14ac:dyDescent="0.25">
      <c r="A106">
        <v>31</v>
      </c>
    </row>
    <row r="107" spans="1:1" x14ac:dyDescent="0.25">
      <c r="A107">
        <v>20</v>
      </c>
    </row>
    <row r="108" spans="1:1" x14ac:dyDescent="0.25">
      <c r="A108">
        <v>27</v>
      </c>
    </row>
    <row r="109" spans="1:1" x14ac:dyDescent="0.25">
      <c r="A109">
        <v>33</v>
      </c>
    </row>
    <row r="110" spans="1:1" x14ac:dyDescent="0.25">
      <c r="A110">
        <v>27</v>
      </c>
    </row>
    <row r="111" spans="1:1" x14ac:dyDescent="0.25">
      <c r="A111">
        <v>23</v>
      </c>
    </row>
    <row r="112" spans="1:1" x14ac:dyDescent="0.25">
      <c r="A112">
        <v>28</v>
      </c>
    </row>
    <row r="113" spans="1:2" x14ac:dyDescent="0.25">
      <c r="A113">
        <v>29</v>
      </c>
    </row>
    <row r="114" spans="1:2" x14ac:dyDescent="0.25">
      <c r="A114">
        <v>31</v>
      </c>
    </row>
    <row r="115" spans="1:2" x14ac:dyDescent="0.25">
      <c r="A115">
        <v>35</v>
      </c>
    </row>
    <row r="116" spans="1:2" x14ac:dyDescent="0.25">
      <c r="A116">
        <v>34</v>
      </c>
    </row>
    <row r="117" spans="1:2" x14ac:dyDescent="0.25">
      <c r="A117">
        <v>22</v>
      </c>
    </row>
    <row r="118" spans="1:2" x14ac:dyDescent="0.25">
      <c r="A118">
        <v>26</v>
      </c>
    </row>
    <row r="119" spans="1:2" x14ac:dyDescent="0.25">
      <c r="A119">
        <v>28</v>
      </c>
    </row>
    <row r="120" spans="1:2" x14ac:dyDescent="0.25">
      <c r="A120">
        <v>23</v>
      </c>
    </row>
    <row r="121" spans="1:2" x14ac:dyDescent="0.25">
      <c r="A121">
        <v>35</v>
      </c>
    </row>
    <row r="122" spans="1:2" x14ac:dyDescent="0.25">
      <c r="A122">
        <v>31</v>
      </c>
    </row>
    <row r="123" spans="1:2" x14ac:dyDescent="0.25">
      <c r="A123">
        <v>27</v>
      </c>
    </row>
    <row r="124" spans="1:2" x14ac:dyDescent="0.25">
      <c r="A124">
        <f>SUM(A94:A123)</f>
        <v>834</v>
      </c>
    </row>
    <row r="125" spans="1:2" x14ac:dyDescent="0.25">
      <c r="A125" t="s">
        <v>46</v>
      </c>
      <c r="B125">
        <f>AVERAGE(834/24)</f>
        <v>34.75</v>
      </c>
    </row>
    <row r="129" spans="1:1" x14ac:dyDescent="0.25">
      <c r="A129" t="s">
        <v>47</v>
      </c>
    </row>
    <row r="130" spans="1:1" x14ac:dyDescent="0.25">
      <c r="A130">
        <v>171</v>
      </c>
    </row>
    <row r="131" spans="1:1" x14ac:dyDescent="0.25">
      <c r="A131">
        <v>161</v>
      </c>
    </row>
    <row r="132" spans="1:1" x14ac:dyDescent="0.25">
      <c r="A132">
        <v>155</v>
      </c>
    </row>
    <row r="133" spans="1:1" x14ac:dyDescent="0.25">
      <c r="A133">
        <v>155</v>
      </c>
    </row>
    <row r="134" spans="1:1" x14ac:dyDescent="0.25">
      <c r="A134">
        <v>183</v>
      </c>
    </row>
    <row r="135" spans="1:1" x14ac:dyDescent="0.25">
      <c r="A135">
        <v>191</v>
      </c>
    </row>
    <row r="136" spans="1:1" x14ac:dyDescent="0.25">
      <c r="A136">
        <v>185</v>
      </c>
    </row>
    <row r="137" spans="1:1" x14ac:dyDescent="0.25">
      <c r="A137">
        <v>170</v>
      </c>
    </row>
    <row r="138" spans="1:1" x14ac:dyDescent="0.25">
      <c r="A138">
        <v>172</v>
      </c>
    </row>
    <row r="139" spans="1:1" x14ac:dyDescent="0.25">
      <c r="A139">
        <v>177</v>
      </c>
    </row>
    <row r="140" spans="1:1" x14ac:dyDescent="0.25">
      <c r="A140">
        <v>183</v>
      </c>
    </row>
    <row r="141" spans="1:1" x14ac:dyDescent="0.25">
      <c r="A141">
        <v>190</v>
      </c>
    </row>
    <row r="142" spans="1:1" x14ac:dyDescent="0.25">
      <c r="A142">
        <v>139</v>
      </c>
    </row>
    <row r="143" spans="1:1" x14ac:dyDescent="0.25">
      <c r="A143">
        <v>149</v>
      </c>
    </row>
    <row r="144" spans="1:1" x14ac:dyDescent="0.25">
      <c r="A144">
        <v>150</v>
      </c>
    </row>
    <row r="145" spans="1:1" x14ac:dyDescent="0.25">
      <c r="A145">
        <v>150</v>
      </c>
    </row>
    <row r="146" spans="1:1" x14ac:dyDescent="0.25">
      <c r="A146">
        <v>152</v>
      </c>
    </row>
    <row r="147" spans="1:1" x14ac:dyDescent="0.25">
      <c r="A147">
        <v>158</v>
      </c>
    </row>
    <row r="148" spans="1:1" x14ac:dyDescent="0.25">
      <c r="A148">
        <v>159</v>
      </c>
    </row>
    <row r="149" spans="1:1" x14ac:dyDescent="0.25">
      <c r="A149">
        <v>174</v>
      </c>
    </row>
    <row r="150" spans="1:1" x14ac:dyDescent="0.25">
      <c r="A150">
        <v>178</v>
      </c>
    </row>
    <row r="151" spans="1:1" x14ac:dyDescent="0.25">
      <c r="A151">
        <v>179</v>
      </c>
    </row>
    <row r="152" spans="1:1" x14ac:dyDescent="0.25">
      <c r="A152">
        <v>190</v>
      </c>
    </row>
    <row r="153" spans="1:1" x14ac:dyDescent="0.25">
      <c r="A153">
        <v>170</v>
      </c>
    </row>
    <row r="154" spans="1:1" x14ac:dyDescent="0.25">
      <c r="A154">
        <v>143</v>
      </c>
    </row>
    <row r="155" spans="1:1" x14ac:dyDescent="0.25">
      <c r="A155">
        <v>165</v>
      </c>
    </row>
    <row r="156" spans="1:1" x14ac:dyDescent="0.25">
      <c r="A156">
        <v>167</v>
      </c>
    </row>
    <row r="157" spans="1:1" x14ac:dyDescent="0.25">
      <c r="A157">
        <v>187</v>
      </c>
    </row>
    <row r="158" spans="1:1" x14ac:dyDescent="0.25">
      <c r="A158">
        <v>169</v>
      </c>
    </row>
    <row r="159" spans="1:1" x14ac:dyDescent="0.25">
      <c r="A159">
        <v>182</v>
      </c>
    </row>
    <row r="160" spans="1:1" x14ac:dyDescent="0.25">
      <c r="A160">
        <v>163</v>
      </c>
    </row>
    <row r="161" spans="1:22" x14ac:dyDescent="0.25">
      <c r="A161">
        <v>149</v>
      </c>
    </row>
    <row r="162" spans="1:22" x14ac:dyDescent="0.25">
      <c r="A162">
        <v>174</v>
      </c>
    </row>
    <row r="163" spans="1:22" x14ac:dyDescent="0.25">
      <c r="A163">
        <v>174</v>
      </c>
    </row>
    <row r="164" spans="1:22" x14ac:dyDescent="0.25">
      <c r="A164">
        <v>177</v>
      </c>
    </row>
    <row r="165" spans="1:22" x14ac:dyDescent="0.25">
      <c r="A165">
        <v>181</v>
      </c>
    </row>
    <row r="166" spans="1:22" x14ac:dyDescent="0.25">
      <c r="A166">
        <v>170</v>
      </c>
    </row>
    <row r="167" spans="1:22" x14ac:dyDescent="0.25">
      <c r="A167">
        <v>182</v>
      </c>
    </row>
    <row r="168" spans="1:22" x14ac:dyDescent="0.25">
      <c r="A168">
        <v>170</v>
      </c>
    </row>
    <row r="169" spans="1:22" x14ac:dyDescent="0.25">
      <c r="A169">
        <v>145</v>
      </c>
    </row>
    <row r="170" spans="1:22" x14ac:dyDescent="0.25">
      <c r="A170">
        <v>143</v>
      </c>
    </row>
    <row r="171" spans="1:22" x14ac:dyDescent="0.25">
      <c r="A171">
        <f>SUM(A130:A170)</f>
        <v>6882</v>
      </c>
    </row>
    <row r="172" spans="1:22" x14ac:dyDescent="0.25">
      <c r="A172" t="s">
        <v>48</v>
      </c>
      <c r="B172">
        <f>AVERAGE(6882/40)</f>
        <v>172.05</v>
      </c>
    </row>
    <row r="175" spans="1:22" x14ac:dyDescent="0.25">
      <c r="A175" t="s">
        <v>49</v>
      </c>
    </row>
    <row r="176" spans="1:22" x14ac:dyDescent="0.25">
      <c r="R176" s="6" t="s">
        <v>87</v>
      </c>
      <c r="S176" s="6">
        <f>H183/B183</f>
        <v>7.5236299130434778</v>
      </c>
      <c r="T176" s="6"/>
      <c r="U176" s="6"/>
      <c r="V176" s="6"/>
    </row>
    <row r="177" spans="1:22" x14ac:dyDescent="0.25">
      <c r="A177" s="26" t="s">
        <v>50</v>
      </c>
      <c r="B177" s="20" t="s">
        <v>39</v>
      </c>
      <c r="C177" s="11" t="s">
        <v>56</v>
      </c>
      <c r="D177" s="11" t="s">
        <v>72</v>
      </c>
      <c r="E177" s="11" t="s">
        <v>73</v>
      </c>
      <c r="F177" s="11" t="s">
        <v>66</v>
      </c>
      <c r="G177" s="11" t="s">
        <v>85</v>
      </c>
      <c r="H177" s="11" t="s">
        <v>86</v>
      </c>
      <c r="R177" s="6"/>
      <c r="S177" s="6"/>
      <c r="T177" s="6"/>
      <c r="U177" s="6"/>
      <c r="V177" s="6"/>
    </row>
    <row r="178" spans="1:22" x14ac:dyDescent="0.25">
      <c r="A178" s="17" t="s">
        <v>51</v>
      </c>
      <c r="B178" s="18">
        <v>2</v>
      </c>
      <c r="C178" s="18">
        <v>2</v>
      </c>
      <c r="D178" s="18">
        <v>5.5</v>
      </c>
      <c r="E178" s="18">
        <f>B178*D178</f>
        <v>11</v>
      </c>
      <c r="F178" s="18">
        <f>D178-C186</f>
        <v>-17.391304347826086</v>
      </c>
      <c r="G178" s="18">
        <v>17.391300000000001</v>
      </c>
      <c r="H178">
        <f>G178*B178</f>
        <v>34.782600000000002</v>
      </c>
      <c r="R178" s="6"/>
      <c r="S178" s="6"/>
      <c r="T178" s="6"/>
      <c r="U178" s="6"/>
      <c r="V178" s="6"/>
    </row>
    <row r="179" spans="1:22" x14ac:dyDescent="0.25">
      <c r="A179" s="17" t="s">
        <v>52</v>
      </c>
      <c r="B179" s="18">
        <v>7</v>
      </c>
      <c r="C179" s="18">
        <v>9</v>
      </c>
      <c r="D179" s="18">
        <f>(11+20)/2</f>
        <v>15.5</v>
      </c>
      <c r="E179" s="18">
        <f>B179*D179</f>
        <v>108.5</v>
      </c>
      <c r="F179" s="18">
        <f>D179-C186</f>
        <v>-7.391304347826086</v>
      </c>
      <c r="G179" s="18">
        <v>7.3913039999999999</v>
      </c>
      <c r="H179">
        <f>G179*B179</f>
        <v>51.739128000000001</v>
      </c>
      <c r="R179" s="6" t="s">
        <v>74</v>
      </c>
      <c r="S179" s="6">
        <f>(F183)^2</f>
        <v>170.13232514177705</v>
      </c>
      <c r="T179" s="6"/>
      <c r="U179" s="6"/>
      <c r="V179" s="6"/>
    </row>
    <row r="180" spans="1:22" x14ac:dyDescent="0.25">
      <c r="A180" s="17" t="s">
        <v>53</v>
      </c>
      <c r="B180" s="18">
        <v>10</v>
      </c>
      <c r="C180" s="18">
        <v>19</v>
      </c>
      <c r="D180" s="18">
        <f>(21+30)/2</f>
        <v>25.5</v>
      </c>
      <c r="E180" s="18">
        <f>B180*D180</f>
        <v>255</v>
      </c>
      <c r="F180" s="18">
        <f>D180-C186</f>
        <v>2.608695652173914</v>
      </c>
      <c r="G180" s="18">
        <v>2.6086960000000001</v>
      </c>
      <c r="H180">
        <f>G180*B180</f>
        <v>26.086960000000001</v>
      </c>
      <c r="R180" s="6" t="s">
        <v>75</v>
      </c>
      <c r="S180" s="6">
        <f>SQRT(S179/23)</f>
        <v>2.7197532268314109</v>
      </c>
      <c r="T180" s="6"/>
      <c r="U180" s="6"/>
      <c r="V180" s="6"/>
    </row>
    <row r="181" spans="1:22" x14ac:dyDescent="0.25">
      <c r="A181" s="17" t="s">
        <v>54</v>
      </c>
      <c r="B181" s="18">
        <v>3</v>
      </c>
      <c r="C181" s="18">
        <v>22</v>
      </c>
      <c r="D181" s="18">
        <f>(31+40)/2</f>
        <v>35.5</v>
      </c>
      <c r="E181" s="18">
        <f>B181*D181</f>
        <v>106.5</v>
      </c>
      <c r="F181" s="18">
        <f>D181-C186</f>
        <v>12.608695652173914</v>
      </c>
      <c r="G181" s="18">
        <v>12.608700000000001</v>
      </c>
      <c r="H181">
        <f>G181*B181</f>
        <v>37.826100000000004</v>
      </c>
      <c r="R181" s="6" t="s">
        <v>76</v>
      </c>
      <c r="S181" s="6">
        <f>(S180)^2</f>
        <v>7.3970576148598717</v>
      </c>
      <c r="T181" s="6"/>
      <c r="U181" s="6"/>
      <c r="V181" s="6"/>
    </row>
    <row r="182" spans="1:22" x14ac:dyDescent="0.25">
      <c r="A182" s="17" t="s">
        <v>55</v>
      </c>
      <c r="B182" s="18">
        <v>1</v>
      </c>
      <c r="C182" s="18">
        <v>23</v>
      </c>
      <c r="D182" s="18">
        <f>(41+50)/2</f>
        <v>45.5</v>
      </c>
      <c r="E182" s="18">
        <f>B182*D182</f>
        <v>45.5</v>
      </c>
      <c r="F182" s="18">
        <f>D182-C186</f>
        <v>22.608695652173914</v>
      </c>
      <c r="G182" s="18">
        <v>22.608699999999999</v>
      </c>
      <c r="H182">
        <f>G182*B182</f>
        <v>22.608699999999999</v>
      </c>
      <c r="R182" s="6" t="s">
        <v>88</v>
      </c>
      <c r="S182" s="6">
        <v>23</v>
      </c>
      <c r="T182" s="6"/>
      <c r="U182" s="6" t="s">
        <v>62</v>
      </c>
      <c r="V182" s="6">
        <f>(3*23/4)</f>
        <v>17.25</v>
      </c>
    </row>
    <row r="183" spans="1:22" x14ac:dyDescent="0.25">
      <c r="A183" s="33" t="s">
        <v>57</v>
      </c>
      <c r="B183" s="34">
        <f>SUM(B178:B182)</f>
        <v>23</v>
      </c>
      <c r="C183" s="34"/>
      <c r="D183" s="34">
        <f>SUM(D178:D182)</f>
        <v>127.5</v>
      </c>
      <c r="E183" s="34">
        <f>SUM(E178:E182)</f>
        <v>526.5</v>
      </c>
      <c r="F183" s="29">
        <f>SUM(F178:F182)</f>
        <v>13.04347826086957</v>
      </c>
      <c r="H183">
        <f>SUM(H178:H182)</f>
        <v>173.043488</v>
      </c>
      <c r="R183" s="6" t="s">
        <v>60</v>
      </c>
      <c r="S183" s="6">
        <f>23/4</f>
        <v>5.75</v>
      </c>
      <c r="T183" s="6"/>
      <c r="U183" s="6" t="s">
        <v>88</v>
      </c>
      <c r="V183" s="6">
        <v>23</v>
      </c>
    </row>
    <row r="184" spans="1:22" x14ac:dyDescent="0.25">
      <c r="A184" s="33" t="s">
        <v>58</v>
      </c>
      <c r="B184" s="34"/>
      <c r="C184" s="34">
        <v>117</v>
      </c>
      <c r="D184" s="34"/>
      <c r="E184" s="34"/>
      <c r="F184" s="29"/>
      <c r="R184" s="6" t="s">
        <v>89</v>
      </c>
      <c r="S184" s="6">
        <v>11</v>
      </c>
      <c r="T184" s="6"/>
      <c r="U184" s="6" t="s">
        <v>93</v>
      </c>
      <c r="V184" s="6">
        <v>21</v>
      </c>
    </row>
    <row r="185" spans="1:22" x14ac:dyDescent="0.25">
      <c r="A185" s="33" t="s">
        <v>59</v>
      </c>
      <c r="B185" s="34"/>
      <c r="C185" s="34">
        <v>24</v>
      </c>
      <c r="D185" s="34"/>
      <c r="E185" s="34"/>
      <c r="F185" s="29"/>
      <c r="R185" s="6" t="s">
        <v>90</v>
      </c>
      <c r="S185" s="6">
        <v>7</v>
      </c>
      <c r="T185" s="6"/>
      <c r="U185" s="6" t="s">
        <v>90</v>
      </c>
      <c r="V185" s="6">
        <v>10</v>
      </c>
    </row>
    <row r="186" spans="1:22" x14ac:dyDescent="0.25">
      <c r="A186" s="33" t="s">
        <v>37</v>
      </c>
      <c r="B186" s="34"/>
      <c r="C186" s="34">
        <f>E183/B183</f>
        <v>22.891304347826086</v>
      </c>
      <c r="D186" s="34"/>
      <c r="E186" s="34"/>
      <c r="F186" s="29"/>
      <c r="R186" s="6" t="s">
        <v>91</v>
      </c>
      <c r="S186" s="6">
        <v>2</v>
      </c>
      <c r="T186" s="6"/>
      <c r="U186" s="6" t="s">
        <v>91</v>
      </c>
      <c r="V186" s="6">
        <v>19</v>
      </c>
    </row>
    <row r="187" spans="1:22" x14ac:dyDescent="0.25">
      <c r="A187" s="2"/>
      <c r="R187" s="6" t="s">
        <v>92</v>
      </c>
      <c r="S187" s="6">
        <v>10</v>
      </c>
      <c r="T187" s="6"/>
      <c r="U187" s="6" t="s">
        <v>92</v>
      </c>
      <c r="V187" s="6">
        <v>10</v>
      </c>
    </row>
    <row r="188" spans="1:22" x14ac:dyDescent="0.25">
      <c r="R188" s="6" t="s">
        <v>60</v>
      </c>
      <c r="S188" s="6">
        <f>S184+(S187/S185)*(23/4-S186)</f>
        <v>16.357142857142858</v>
      </c>
      <c r="T188" s="6"/>
      <c r="U188" s="6" t="s">
        <v>62</v>
      </c>
      <c r="V188" s="6">
        <f>V184+(V187/V185)*((3*23)/4)-V186</f>
        <v>19.25</v>
      </c>
    </row>
    <row r="189" spans="1:22" x14ac:dyDescent="0.25">
      <c r="A189" s="33" t="s">
        <v>77</v>
      </c>
      <c r="B189" t="s">
        <v>78</v>
      </c>
      <c r="C189" t="s">
        <v>84</v>
      </c>
      <c r="R189" s="6"/>
      <c r="S189" s="6"/>
      <c r="T189" s="6"/>
      <c r="U189" s="6"/>
      <c r="V189" s="6"/>
    </row>
    <row r="190" spans="1:22" x14ac:dyDescent="0.25">
      <c r="A190" s="33" t="s">
        <v>79</v>
      </c>
      <c r="B190">
        <v>30</v>
      </c>
      <c r="R190" s="6" t="s">
        <v>94</v>
      </c>
      <c r="S190" s="6">
        <f>(V188-S188)/2</f>
        <v>1.4464285714285712</v>
      </c>
      <c r="T190" s="6"/>
      <c r="U190" s="6"/>
      <c r="V190" s="6"/>
    </row>
    <row r="191" spans="1:22" x14ac:dyDescent="0.25">
      <c r="A191" s="33" t="s">
        <v>80</v>
      </c>
      <c r="B191">
        <v>27</v>
      </c>
      <c r="R191" s="6" t="s">
        <v>95</v>
      </c>
      <c r="S191" s="6">
        <f>(V188+S188)/(V188-S188)</f>
        <v>12.308641975308646</v>
      </c>
      <c r="T191" s="6"/>
      <c r="U191" s="6"/>
      <c r="V191" s="6"/>
    </row>
    <row r="192" spans="1:22" x14ac:dyDescent="0.25">
      <c r="A192" s="33" t="s">
        <v>81</v>
      </c>
      <c r="B192">
        <v>14</v>
      </c>
    </row>
    <row r="193" spans="1:2" x14ac:dyDescent="0.25">
      <c r="A193" s="33" t="s">
        <v>82</v>
      </c>
      <c r="B193">
        <v>19</v>
      </c>
    </row>
    <row r="194" spans="1:2" x14ac:dyDescent="0.25">
      <c r="A194" s="33" t="s">
        <v>83</v>
      </c>
      <c r="B194">
        <v>2</v>
      </c>
    </row>
    <row r="1048576" spans="1:1" x14ac:dyDescent="0.25">
      <c r="A1048576">
        <f>SUM(A16)</f>
        <v>203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919995425520</dc:creator>
  <cp:lastModifiedBy>919995425520</cp:lastModifiedBy>
  <dcterms:created xsi:type="dcterms:W3CDTF">2022-01-17T09:13:43Z</dcterms:created>
  <dcterms:modified xsi:type="dcterms:W3CDTF">2022-01-31T11:09:23Z</dcterms:modified>
</cp:coreProperties>
</file>