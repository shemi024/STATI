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41" i="1" l="1"/>
  <c r="E140" i="1"/>
  <c r="E139" i="1"/>
  <c r="E138" i="1"/>
  <c r="E137" i="1"/>
  <c r="E136" i="1"/>
  <c r="E135" i="1"/>
  <c r="E134" i="1"/>
  <c r="E133" i="1"/>
  <c r="D140" i="1"/>
  <c r="D139" i="1"/>
  <c r="D138" i="1"/>
  <c r="D137" i="1"/>
  <c r="D136" i="1"/>
  <c r="D135" i="1"/>
  <c r="D133" i="1"/>
  <c r="D134" i="1"/>
  <c r="C138" i="1"/>
  <c r="C137" i="1"/>
  <c r="C136" i="1"/>
  <c r="C135" i="1"/>
  <c r="C134" i="1"/>
  <c r="C140" i="1"/>
  <c r="C139" i="1"/>
  <c r="C133" i="1"/>
  <c r="B140" i="1"/>
  <c r="B139" i="1"/>
  <c r="F128" i="1"/>
  <c r="B138" i="1" s="1"/>
  <c r="B136" i="1"/>
  <c r="B135" i="1"/>
  <c r="B134" i="1"/>
  <c r="B133" i="1"/>
  <c r="K127" i="1"/>
  <c r="K125" i="1"/>
  <c r="K106" i="1"/>
  <c r="F129" i="1"/>
  <c r="B129" i="1"/>
  <c r="C129" i="1"/>
  <c r="D129" i="1"/>
  <c r="E129" i="1"/>
  <c r="F127" i="1"/>
  <c r="K108" i="1"/>
  <c r="K107" i="1"/>
  <c r="E122" i="1"/>
  <c r="E121" i="1"/>
  <c r="E120" i="1"/>
  <c r="E119" i="1"/>
  <c r="E118" i="1"/>
  <c r="E117" i="1"/>
  <c r="E116" i="1"/>
  <c r="D121" i="1"/>
  <c r="D120" i="1"/>
  <c r="D119" i="1"/>
  <c r="D118" i="1"/>
  <c r="D117" i="1"/>
  <c r="D116" i="1"/>
  <c r="C121" i="1"/>
  <c r="C120" i="1"/>
  <c r="C119" i="1"/>
  <c r="C118" i="1"/>
  <c r="C117" i="1"/>
  <c r="C116" i="1"/>
  <c r="B121" i="1"/>
  <c r="B120" i="1"/>
  <c r="B119" i="1"/>
  <c r="B118" i="1"/>
  <c r="B117" i="1"/>
  <c r="B116" i="1"/>
  <c r="B70" i="1"/>
  <c r="D109" i="1"/>
  <c r="D112" i="1"/>
  <c r="D111" i="1"/>
  <c r="D110" i="1"/>
  <c r="C112" i="1"/>
  <c r="B112" i="1"/>
  <c r="K98" i="1"/>
  <c r="K96" i="1"/>
  <c r="F103" i="1"/>
  <c r="F100" i="1"/>
  <c r="F99" i="1"/>
  <c r="F102" i="1"/>
  <c r="F101" i="1"/>
  <c r="F98" i="1"/>
  <c r="F97" i="1"/>
  <c r="E102" i="1"/>
  <c r="E101" i="1"/>
  <c r="E100" i="1"/>
  <c r="E99" i="1"/>
  <c r="E98" i="1"/>
  <c r="E97" i="1"/>
  <c r="D102" i="1"/>
  <c r="D101" i="1"/>
  <c r="D100" i="1"/>
  <c r="D99" i="1"/>
  <c r="D98" i="1"/>
  <c r="D97" i="1"/>
  <c r="D89" i="1"/>
  <c r="D88" i="1"/>
  <c r="D87" i="1"/>
  <c r="D86" i="1"/>
  <c r="D85" i="1"/>
  <c r="D84" i="1"/>
  <c r="K84" i="1"/>
  <c r="K82" i="1"/>
  <c r="E92" i="1"/>
  <c r="E88" i="1"/>
  <c r="E87" i="1"/>
  <c r="E86" i="1"/>
  <c r="E85" i="1"/>
  <c r="E84" i="1"/>
  <c r="E83" i="1"/>
  <c r="E91" i="1"/>
  <c r="E90" i="1"/>
  <c r="E89" i="1"/>
  <c r="E82" i="1"/>
  <c r="D91" i="1"/>
  <c r="D90" i="1"/>
  <c r="D83" i="1"/>
  <c r="D82" i="1"/>
  <c r="C91" i="1"/>
  <c r="C90" i="1"/>
  <c r="C89" i="1"/>
  <c r="C88" i="1"/>
  <c r="C87" i="1"/>
  <c r="C86" i="1"/>
  <c r="C85" i="1"/>
  <c r="C84" i="1"/>
  <c r="C83" i="1"/>
  <c r="C82" i="1"/>
  <c r="E74" i="1"/>
  <c r="E73" i="1"/>
  <c r="E72" i="1"/>
  <c r="E71" i="1"/>
  <c r="E70" i="1"/>
  <c r="D73" i="1"/>
  <c r="D72" i="1"/>
  <c r="D71" i="1"/>
  <c r="D70" i="1"/>
  <c r="C73" i="1"/>
  <c r="C72" i="1"/>
  <c r="C71" i="1"/>
  <c r="C70" i="1"/>
  <c r="B73" i="1"/>
  <c r="B72" i="1"/>
  <c r="B71" i="1"/>
  <c r="D64" i="1"/>
  <c r="D66" i="1"/>
  <c r="D65" i="1"/>
  <c r="C66" i="1"/>
  <c r="B66" i="1"/>
  <c r="C60" i="1"/>
  <c r="L47" i="1"/>
  <c r="C10" i="1"/>
  <c r="K45" i="1"/>
  <c r="D48" i="1"/>
  <c r="E48" i="1" s="1"/>
  <c r="D44" i="1"/>
  <c r="E44" i="1" s="1"/>
  <c r="C50" i="1"/>
  <c r="D50" i="1" s="1"/>
  <c r="E50" i="1" s="1"/>
  <c r="C49" i="1"/>
  <c r="D49" i="1" s="1"/>
  <c r="E49" i="1" s="1"/>
  <c r="C48" i="1"/>
  <c r="C47" i="1"/>
  <c r="D47" i="1" s="1"/>
  <c r="E47" i="1" s="1"/>
  <c r="C46" i="1"/>
  <c r="D46" i="1" s="1"/>
  <c r="E46" i="1" s="1"/>
  <c r="C45" i="1"/>
  <c r="D45" i="1" s="1"/>
  <c r="E45" i="1" s="1"/>
  <c r="C44" i="1"/>
  <c r="A51" i="1"/>
  <c r="K43" i="1"/>
  <c r="K44" i="1" s="1"/>
  <c r="A52" i="1" s="1"/>
  <c r="L30" i="1"/>
  <c r="K24" i="1"/>
  <c r="B29" i="1" s="1"/>
  <c r="C29" i="1" s="1"/>
  <c r="D29" i="1" s="1"/>
  <c r="E29" i="1" s="1"/>
  <c r="K23" i="1"/>
  <c r="B28" i="1" s="1"/>
  <c r="C28" i="1" s="1"/>
  <c r="D28" i="1" s="1"/>
  <c r="E28" i="1" s="1"/>
  <c r="N24" i="1"/>
  <c r="N27" i="1"/>
  <c r="K26" i="1" s="1"/>
  <c r="B31" i="1" s="1"/>
  <c r="C31" i="1" s="1"/>
  <c r="D31" i="1" s="1"/>
  <c r="E31" i="1" s="1"/>
  <c r="N26" i="1"/>
  <c r="K25" i="1" s="1"/>
  <c r="B30" i="1" s="1"/>
  <c r="C30" i="1" s="1"/>
  <c r="D30" i="1" s="1"/>
  <c r="E30" i="1" s="1"/>
  <c r="N25" i="1"/>
  <c r="C20" i="1"/>
  <c r="B20" i="1"/>
  <c r="E19" i="1"/>
  <c r="F19" i="1" s="1"/>
  <c r="E18" i="1"/>
  <c r="F18" i="1" s="1"/>
  <c r="E14" i="1"/>
  <c r="F14" i="1" s="1"/>
  <c r="D19" i="1"/>
  <c r="D18" i="1"/>
  <c r="D17" i="1"/>
  <c r="E17" i="1" s="1"/>
  <c r="F17" i="1" s="1"/>
  <c r="D16" i="1"/>
  <c r="E16" i="1" s="1"/>
  <c r="F16" i="1" s="1"/>
  <c r="D15" i="1"/>
  <c r="E15" i="1" s="1"/>
  <c r="F15" i="1" s="1"/>
  <c r="D14" i="1"/>
  <c r="B137" i="1" l="1"/>
  <c r="E32" i="1"/>
  <c r="E51" i="1"/>
  <c r="F20" i="1"/>
</calcChain>
</file>

<file path=xl/sharedStrings.xml><?xml version="1.0" encoding="utf-8"?>
<sst xmlns="http://schemas.openxmlformats.org/spreadsheetml/2006/main" count="121" uniqueCount="101">
  <si>
    <t>Chi-square test</t>
  </si>
  <si>
    <t>alternative hypothesis,H1</t>
  </si>
  <si>
    <t>, H1</t>
  </si>
  <si>
    <t>H1: the die is NOT fair.</t>
  </si>
  <si>
    <t xml:space="preserve"> confidence level:   95%</t>
  </si>
  <si>
    <t xml:space="preserve"> error prblty : p-value &lt;=0.5</t>
  </si>
  <si>
    <t xml:space="preserve">  degree of freedom :</t>
  </si>
  <si>
    <t>(6-1)=5</t>
  </si>
  <si>
    <t>critical value=</t>
  </si>
  <si>
    <t xml:space="preserve">       E</t>
  </si>
  <si>
    <t xml:space="preserve">        O</t>
  </si>
  <si>
    <t xml:space="preserve">   O-E</t>
  </si>
  <si>
    <t xml:space="preserve">   (O-E)^2</t>
  </si>
  <si>
    <t xml:space="preserve">  (O-E)^2/E</t>
  </si>
  <si>
    <t>Num ER</t>
  </si>
  <si>
    <t>Total</t>
  </si>
  <si>
    <t xml:space="preserve">      therefore ,if our die x^2 &gt;11.07,then we must reject H0 ,accepct the die is NOT fair</t>
  </si>
  <si>
    <t xml:space="preserve">   example of goodness of fit</t>
  </si>
  <si>
    <t xml:space="preserve"> Obseverd</t>
  </si>
  <si>
    <t xml:space="preserve"> Expected</t>
  </si>
  <si>
    <t xml:space="preserve">    (0-E)</t>
  </si>
  <si>
    <t xml:space="preserve">EXPECTED </t>
  </si>
  <si>
    <t xml:space="preserve"> 2:3:3:2</t>
  </si>
  <si>
    <t>1ST</t>
  </si>
  <si>
    <t>4TH</t>
  </si>
  <si>
    <t>3RD</t>
  </si>
  <si>
    <t>2ND</t>
  </si>
  <si>
    <t>E-2/10*100(10 IS THE ALL TOTAL OF THE RATIO</t>
  </si>
  <si>
    <t xml:space="preserve"> TOTAL</t>
  </si>
  <si>
    <t>DF =N-1</t>
  </si>
  <si>
    <t>level of significance</t>
  </si>
  <si>
    <t>critical value</t>
  </si>
  <si>
    <t>since 8.43&gt;7.815 we reject the null hypothesis and</t>
  </si>
  <si>
    <t>conclude that there is significant difference between</t>
  </si>
  <si>
    <t>the observed and the expected</t>
  </si>
  <si>
    <r>
      <t xml:space="preserve">                </t>
    </r>
    <r>
      <rPr>
        <b/>
        <i/>
        <sz val="11"/>
        <color theme="1"/>
        <rFont val="Calibri"/>
        <family val="2"/>
        <scheme val="minor"/>
      </rPr>
      <t xml:space="preserve">  Test for Homogeneity</t>
    </r>
  </si>
  <si>
    <t xml:space="preserve">  OS</t>
  </si>
  <si>
    <t xml:space="preserve">  EX</t>
  </si>
  <si>
    <t xml:space="preserve">EX </t>
  </si>
  <si>
    <t xml:space="preserve">  (O-E)</t>
  </si>
  <si>
    <t>DF=N-1</t>
  </si>
  <si>
    <t>LEVEL OF SIGNIFICANCE</t>
  </si>
  <si>
    <t>CRITICAL VALUE</t>
  </si>
  <si>
    <r>
      <t xml:space="preserve">                   </t>
    </r>
    <r>
      <rPr>
        <b/>
        <sz val="11"/>
        <color theme="1"/>
        <rFont val="Calibri"/>
        <family val="2"/>
        <scheme val="minor"/>
      </rPr>
      <t xml:space="preserve"> TEST FOR INDEPENDENCE</t>
    </r>
  </si>
  <si>
    <t xml:space="preserve">  DF =(r-1)(c-1)</t>
  </si>
  <si>
    <t>Attacked</t>
  </si>
  <si>
    <t>Not Attacked</t>
  </si>
  <si>
    <t xml:space="preserve">   Total</t>
  </si>
  <si>
    <t>Non-inocul</t>
  </si>
  <si>
    <t>Inouculated</t>
  </si>
  <si>
    <t xml:space="preserve"> Total</t>
  </si>
  <si>
    <t xml:space="preserve">    OS</t>
  </si>
  <si>
    <t xml:space="preserve">     EX</t>
  </si>
  <si>
    <t xml:space="preserve">     (O-E)^2/E</t>
  </si>
  <si>
    <t>since 14.64&gt;3.841 ew reject the null hypothesis and conclude that</t>
  </si>
  <si>
    <t xml:space="preserve"> there is significance difference between the observed and the expected result</t>
  </si>
  <si>
    <t>that is there is an association between innoculation and tuberculosis</t>
  </si>
  <si>
    <t xml:space="preserve">      OS</t>
  </si>
  <si>
    <t xml:space="preserve">    EX</t>
  </si>
  <si>
    <t xml:space="preserve">     (O-E)</t>
  </si>
  <si>
    <t xml:space="preserve">   (O-E)^2/E</t>
  </si>
  <si>
    <t xml:space="preserve">     (O-E)^2    </t>
  </si>
  <si>
    <t>TOTAL</t>
  </si>
  <si>
    <t xml:space="preserve">DF </t>
  </si>
  <si>
    <t>LEVEL OS SIG</t>
  </si>
  <si>
    <t>SINCE  36.15&gt; 16.91 we reject the null hypothesis</t>
  </si>
  <si>
    <t xml:space="preserve">  Dice</t>
  </si>
  <si>
    <t xml:space="preserve">     OS</t>
  </si>
  <si>
    <t xml:space="preserve">       EX</t>
  </si>
  <si>
    <t xml:space="preserve">    (O-E)</t>
  </si>
  <si>
    <t>(O-E)^2</t>
  </si>
  <si>
    <t xml:space="preserve">    (O-E)^2/E</t>
  </si>
  <si>
    <t xml:space="preserve">  TOTAL</t>
  </si>
  <si>
    <t>DF</t>
  </si>
  <si>
    <t>LEVEL OF SIG</t>
  </si>
  <si>
    <t>SINCE    27.5&gt;12.59  WE REJECT THE NULL HYPOTHESIS</t>
  </si>
  <si>
    <t xml:space="preserve">  , ACCEPCT THE ALTRnative hypothesis</t>
  </si>
  <si>
    <t>df</t>
  </si>
  <si>
    <t>level od sig</t>
  </si>
  <si>
    <t xml:space="preserve">   MEN</t>
  </si>
  <si>
    <t xml:space="preserve">   WOMEN</t>
  </si>
  <si>
    <t xml:space="preserve"> Agree</t>
  </si>
  <si>
    <t>Neutral</t>
  </si>
  <si>
    <t>Disagree</t>
  </si>
  <si>
    <t xml:space="preserve">  Total</t>
  </si>
  <si>
    <t xml:space="preserve">    (O-E)^2</t>
  </si>
  <si>
    <t xml:space="preserve">   Pop</t>
  </si>
  <si>
    <t xml:space="preserve">  Rock</t>
  </si>
  <si>
    <t xml:space="preserve">    Classical</t>
  </si>
  <si>
    <t xml:space="preserve">    Rap</t>
  </si>
  <si>
    <t>Female</t>
  </si>
  <si>
    <t>Male</t>
  </si>
  <si>
    <t xml:space="preserve"> total</t>
  </si>
  <si>
    <t>total</t>
  </si>
  <si>
    <t>level</t>
  </si>
  <si>
    <t xml:space="preserve">  os</t>
  </si>
  <si>
    <t xml:space="preserve">    ex</t>
  </si>
  <si>
    <t xml:space="preserve">   (o-e)</t>
  </si>
  <si>
    <t>(o-e)^2</t>
  </si>
  <si>
    <t xml:space="preserve">     (o-e)^2/e</t>
  </si>
  <si>
    <t>since the 33.98&gt; 7.81 the null hypothesis is 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</si>
</sst>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4" fillId="3" borderId="1" xfId="0" applyFont="1" applyFill="1" applyBorder="1" applyAlignment="1">
      <alignment horizontal="left" vertical="top" indent="1"/>
    </xf>
    <xf numFmtId="0" fontId="4" fillId="3" borderId="2" xfId="0" applyFont="1" applyFill="1" applyBorder="1" applyAlignment="1">
      <alignment horizontal="left" vertical="top" indent="1"/>
    </xf>
    <xf numFmtId="0" fontId="4" fillId="3" borderId="3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3" borderId="0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4" fillId="3" borderId="6" xfId="0" applyFont="1" applyFill="1" applyBorder="1" applyAlignment="1">
      <alignment horizontal="left" vertical="top" indent="1"/>
    </xf>
    <xf numFmtId="0" fontId="4" fillId="3" borderId="7" xfId="0" applyFont="1" applyFill="1" applyBorder="1" applyAlignment="1">
      <alignment horizontal="left" vertical="top" indent="1"/>
    </xf>
    <xf numFmtId="0" fontId="4" fillId="3" borderId="8" xfId="0" applyFont="1" applyFill="1" applyBorder="1" applyAlignment="1">
      <alignment horizontal="left" vertical="top" indent="1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7" borderId="0" xfId="0" applyFill="1"/>
    <xf numFmtId="0" fontId="0" fillId="4" borderId="0" xfId="0" applyFill="1"/>
    <xf numFmtId="0" fontId="0" fillId="8" borderId="0" xfId="0" applyFill="1"/>
    <xf numFmtId="0" fontId="0" fillId="5" borderId="0" xfId="0" applyFill="1"/>
    <xf numFmtId="0" fontId="0" fillId="0" borderId="0" xfId="0" applyFont="1"/>
    <xf numFmtId="0" fontId="0" fillId="9" borderId="0" xfId="0" applyFill="1"/>
    <xf numFmtId="0" fontId="0" fillId="9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1" fillId="12" borderId="0" xfId="0" applyFont="1" applyFill="1"/>
    <xf numFmtId="0" fontId="0" fillId="12" borderId="0" xfId="0" applyFill="1"/>
    <xf numFmtId="0" fontId="0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41"/>
  <sheetViews>
    <sheetView tabSelected="1" topLeftCell="A115" zoomScale="115" zoomScaleNormal="115" workbookViewId="0">
      <selection activeCell="J133" sqref="J133"/>
    </sheetView>
  </sheetViews>
  <sheetFormatPr defaultRowHeight="15" x14ac:dyDescent="0.25"/>
  <cols>
    <col min="1" max="1" width="11" customWidth="1"/>
    <col min="3" max="3" width="13.28515625" customWidth="1"/>
    <col min="4" max="4" width="10.42578125" customWidth="1"/>
    <col min="5" max="5" width="10.5703125" customWidth="1"/>
    <col min="6" max="6" width="11" customWidth="1"/>
    <col min="10" max="10" width="17.7109375" customWidth="1"/>
    <col min="11" max="11" width="11.140625" customWidth="1"/>
  </cols>
  <sheetData>
    <row r="2" spans="1:14" ht="21" x14ac:dyDescent="0.35">
      <c r="B2" s="1" t="s">
        <v>0</v>
      </c>
    </row>
    <row r="3" spans="1:14" ht="15.75" thickBot="1" x14ac:dyDescent="0.3">
      <c r="K3" s="8"/>
    </row>
    <row r="4" spans="1:14" x14ac:dyDescent="0.25">
      <c r="A4" s="9" t="s">
        <v>1</v>
      </c>
      <c r="B4" s="10"/>
      <c r="C4" s="10" t="s">
        <v>2</v>
      </c>
      <c r="D4" s="11"/>
      <c r="J4" s="4"/>
    </row>
    <row r="5" spans="1:14" x14ac:dyDescent="0.25">
      <c r="A5" s="12" t="s">
        <v>3</v>
      </c>
      <c r="B5" s="13"/>
      <c r="C5" s="13"/>
      <c r="D5" s="14"/>
    </row>
    <row r="6" spans="1:14" x14ac:dyDescent="0.25">
      <c r="A6" s="12" t="s">
        <v>4</v>
      </c>
      <c r="B6" s="13"/>
      <c r="C6" s="13"/>
      <c r="D6" s="14"/>
    </row>
    <row r="7" spans="1:14" x14ac:dyDescent="0.25">
      <c r="A7" s="12" t="s">
        <v>5</v>
      </c>
      <c r="B7" s="13"/>
      <c r="C7" s="13"/>
      <c r="D7" s="14"/>
    </row>
    <row r="8" spans="1:14" x14ac:dyDescent="0.25">
      <c r="A8" s="12" t="s">
        <v>6</v>
      </c>
      <c r="B8" s="13"/>
      <c r="C8" s="13" t="s">
        <v>7</v>
      </c>
      <c r="D8" s="14"/>
    </row>
    <row r="9" spans="1:14" x14ac:dyDescent="0.25">
      <c r="A9" s="12"/>
      <c r="B9" s="13" t="s">
        <v>8</v>
      </c>
      <c r="C9" s="13"/>
      <c r="D9" s="14"/>
    </row>
    <row r="10" spans="1:14" ht="15.75" thickBot="1" x14ac:dyDescent="0.3">
      <c r="A10" s="15"/>
      <c r="B10" s="16"/>
      <c r="C10" s="16">
        <f>CHIINV(0.05,5)</f>
        <v>11.070497693516353</v>
      </c>
      <c r="D10" s="17"/>
      <c r="N10" s="7"/>
    </row>
    <row r="13" spans="1:14" ht="15.75" x14ac:dyDescent="0.25">
      <c r="A13" s="3" t="s">
        <v>14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</row>
    <row r="14" spans="1:14" x14ac:dyDescent="0.25">
      <c r="A14" s="6">
        <v>1</v>
      </c>
      <c r="B14" s="6">
        <v>100</v>
      </c>
      <c r="C14" s="6">
        <v>111</v>
      </c>
      <c r="D14" s="6">
        <f>C14-B14</f>
        <v>11</v>
      </c>
      <c r="E14" s="6">
        <f>D14^2</f>
        <v>121</v>
      </c>
      <c r="F14" s="6">
        <f>E14/B14</f>
        <v>1.21</v>
      </c>
    </row>
    <row r="15" spans="1:14" x14ac:dyDescent="0.25">
      <c r="A15" s="6">
        <v>2</v>
      </c>
      <c r="B15" s="6">
        <v>100</v>
      </c>
      <c r="C15" s="6">
        <v>90</v>
      </c>
      <c r="D15" s="6">
        <f>C15-B15</f>
        <v>-10</v>
      </c>
      <c r="E15" s="6">
        <f>D15^2</f>
        <v>100</v>
      </c>
      <c r="F15" s="6">
        <f>E15/B15</f>
        <v>1</v>
      </c>
    </row>
    <row r="16" spans="1:14" x14ac:dyDescent="0.25">
      <c r="A16" s="6">
        <v>3</v>
      </c>
      <c r="B16" s="6">
        <v>100</v>
      </c>
      <c r="C16" s="6">
        <v>81</v>
      </c>
      <c r="D16" s="6">
        <f>C16-B16</f>
        <v>-19</v>
      </c>
      <c r="E16" s="6">
        <f>D16^2</f>
        <v>361</v>
      </c>
      <c r="F16" s="6">
        <f>E16/B16</f>
        <v>3.61</v>
      </c>
    </row>
    <row r="17" spans="1:14" x14ac:dyDescent="0.25">
      <c r="A17" s="6">
        <v>4</v>
      </c>
      <c r="B17" s="6">
        <v>100</v>
      </c>
      <c r="C17" s="6">
        <v>102</v>
      </c>
      <c r="D17" s="6">
        <f>C17-B17</f>
        <v>2</v>
      </c>
      <c r="E17" s="6">
        <f>D17^2</f>
        <v>4</v>
      </c>
      <c r="F17" s="6">
        <f>E17/B17</f>
        <v>0.04</v>
      </c>
    </row>
    <row r="18" spans="1:14" x14ac:dyDescent="0.25">
      <c r="A18" s="6">
        <v>5</v>
      </c>
      <c r="B18" s="6">
        <v>100</v>
      </c>
      <c r="C18" s="6">
        <v>124</v>
      </c>
      <c r="D18" s="6">
        <f>C18-B18</f>
        <v>24</v>
      </c>
      <c r="E18" s="6">
        <f>D18^2</f>
        <v>576</v>
      </c>
      <c r="F18" s="6">
        <f>E18/B18</f>
        <v>5.76</v>
      </c>
    </row>
    <row r="19" spans="1:14" x14ac:dyDescent="0.25">
      <c r="A19" s="6">
        <v>6</v>
      </c>
      <c r="B19" s="6">
        <v>100</v>
      </c>
      <c r="C19" s="6">
        <v>92</v>
      </c>
      <c r="D19" s="6">
        <f>C19-B19</f>
        <v>-8</v>
      </c>
      <c r="E19" s="6">
        <f>D19^2</f>
        <v>64</v>
      </c>
      <c r="F19" s="6">
        <f>E19/B19</f>
        <v>0.64</v>
      </c>
    </row>
    <row r="20" spans="1:14" x14ac:dyDescent="0.25">
      <c r="A20" s="5" t="s">
        <v>15</v>
      </c>
      <c r="B20" s="5">
        <f>SUM(B14:B19)</f>
        <v>600</v>
      </c>
      <c r="C20" s="5">
        <f>SUM(C14:C19)</f>
        <v>600</v>
      </c>
      <c r="D20" s="5"/>
      <c r="E20" s="5"/>
      <c r="F20" s="5">
        <f>SUM(F14:F19)</f>
        <v>12.260000000000002</v>
      </c>
    </row>
    <row r="22" spans="1:14" x14ac:dyDescent="0.25">
      <c r="A22" t="s">
        <v>16</v>
      </c>
      <c r="J22" s="4" t="s">
        <v>21</v>
      </c>
      <c r="K22" s="4" t="s">
        <v>22</v>
      </c>
    </row>
    <row r="23" spans="1:14" x14ac:dyDescent="0.25">
      <c r="J23" t="s">
        <v>23</v>
      </c>
      <c r="K23">
        <f>N24</f>
        <v>40</v>
      </c>
      <c r="L23" t="s">
        <v>27</v>
      </c>
    </row>
    <row r="24" spans="1:14" x14ac:dyDescent="0.25">
      <c r="J24" t="s">
        <v>26</v>
      </c>
      <c r="K24">
        <f>N25</f>
        <v>60</v>
      </c>
      <c r="N24">
        <f>2/10*200</f>
        <v>40</v>
      </c>
    </row>
    <row r="25" spans="1:14" ht="15.75" x14ac:dyDescent="0.25">
      <c r="A25" s="2" t="s">
        <v>17</v>
      </c>
      <c r="J25" t="s">
        <v>25</v>
      </c>
      <c r="K25">
        <f>N26</f>
        <v>60</v>
      </c>
      <c r="N25">
        <f>3/10*(200)</f>
        <v>60</v>
      </c>
    </row>
    <row r="26" spans="1:14" x14ac:dyDescent="0.25">
      <c r="J26" t="s">
        <v>24</v>
      </c>
      <c r="K26">
        <f>N27</f>
        <v>40</v>
      </c>
      <c r="N26">
        <f>3/10*200</f>
        <v>60</v>
      </c>
    </row>
    <row r="27" spans="1:14" x14ac:dyDescent="0.25">
      <c r="A27" s="19" t="s">
        <v>18</v>
      </c>
      <c r="B27" s="19" t="s">
        <v>19</v>
      </c>
      <c r="C27" s="19" t="s">
        <v>20</v>
      </c>
      <c r="D27" s="19" t="s">
        <v>12</v>
      </c>
      <c r="E27" s="19" t="s">
        <v>13</v>
      </c>
      <c r="N27">
        <f>2/10*200</f>
        <v>40</v>
      </c>
    </row>
    <row r="28" spans="1:14" x14ac:dyDescent="0.25">
      <c r="A28" s="23">
        <v>46</v>
      </c>
      <c r="B28" s="23">
        <f>K23</f>
        <v>40</v>
      </c>
      <c r="C28" s="23">
        <f>A28-B28</f>
        <v>6</v>
      </c>
      <c r="D28" s="23">
        <f>C28^2</f>
        <v>36</v>
      </c>
      <c r="E28" s="23">
        <f>D28/B28</f>
        <v>0.9</v>
      </c>
    </row>
    <row r="29" spans="1:14" x14ac:dyDescent="0.25">
      <c r="A29" s="23">
        <v>68</v>
      </c>
      <c r="B29" s="23">
        <f>K24</f>
        <v>60</v>
      </c>
      <c r="C29" s="23">
        <f>A29-B29</f>
        <v>8</v>
      </c>
      <c r="D29" s="23">
        <f>C29^2</f>
        <v>64</v>
      </c>
      <c r="E29" s="23">
        <f>D29/B29</f>
        <v>1.0666666666666667</v>
      </c>
    </row>
    <row r="30" spans="1:14" x14ac:dyDescent="0.25">
      <c r="A30" s="23">
        <v>62</v>
      </c>
      <c r="B30" s="23">
        <f>K25</f>
        <v>60</v>
      </c>
      <c r="C30" s="23">
        <f>A30-B30</f>
        <v>2</v>
      </c>
      <c r="D30" s="23">
        <f>C30^2</f>
        <v>4</v>
      </c>
      <c r="E30" s="23">
        <f>D30/B30</f>
        <v>6.6666666666666666E-2</v>
      </c>
      <c r="J30" t="s">
        <v>29</v>
      </c>
      <c r="L30">
        <f>4-1</f>
        <v>3</v>
      </c>
    </row>
    <row r="31" spans="1:14" x14ac:dyDescent="0.25">
      <c r="A31" s="23">
        <v>24</v>
      </c>
      <c r="B31" s="23">
        <f>K26</f>
        <v>40</v>
      </c>
      <c r="C31" s="23">
        <f>A31-B31</f>
        <v>-16</v>
      </c>
      <c r="D31" s="23">
        <f>C31^2</f>
        <v>256</v>
      </c>
      <c r="E31" s="23">
        <f>D31/B31</f>
        <v>6.4</v>
      </c>
      <c r="J31" t="s">
        <v>30</v>
      </c>
      <c r="L31">
        <v>0.05</v>
      </c>
    </row>
    <row r="32" spans="1:14" x14ac:dyDescent="0.25">
      <c r="A32" s="19" t="s">
        <v>28</v>
      </c>
      <c r="B32" s="19"/>
      <c r="C32" s="19"/>
      <c r="D32" s="19"/>
      <c r="E32" s="19">
        <f>SUM(E28:E31)</f>
        <v>8.4333333333333336</v>
      </c>
      <c r="J32" t="s">
        <v>31</v>
      </c>
      <c r="L32">
        <v>7.8150000000000004</v>
      </c>
    </row>
    <row r="35" spans="1:12" x14ac:dyDescent="0.25">
      <c r="B35" t="s">
        <v>32</v>
      </c>
    </row>
    <row r="36" spans="1:12" x14ac:dyDescent="0.25">
      <c r="B36" t="s">
        <v>33</v>
      </c>
    </row>
    <row r="37" spans="1:12" x14ac:dyDescent="0.25">
      <c r="B37" t="s">
        <v>34</v>
      </c>
    </row>
    <row r="41" spans="1:12" x14ac:dyDescent="0.25">
      <c r="A41" t="s">
        <v>35</v>
      </c>
    </row>
    <row r="43" spans="1:12" x14ac:dyDescent="0.25">
      <c r="A43" s="19" t="s">
        <v>36</v>
      </c>
      <c r="B43" s="19" t="s">
        <v>37</v>
      </c>
      <c r="C43" s="19" t="s">
        <v>39</v>
      </c>
      <c r="D43" s="19" t="s">
        <v>12</v>
      </c>
      <c r="E43" s="19" t="s">
        <v>13</v>
      </c>
      <c r="J43" t="s">
        <v>38</v>
      </c>
      <c r="K43">
        <f>A44+A45+A46+A47+A48+A49+A50</f>
        <v>98</v>
      </c>
    </row>
    <row r="44" spans="1:12" x14ac:dyDescent="0.25">
      <c r="A44">
        <v>11</v>
      </c>
      <c r="B44">
        <v>14</v>
      </c>
      <c r="C44">
        <f>A44-B44</f>
        <v>-3</v>
      </c>
      <c r="D44">
        <f>C44^2</f>
        <v>9</v>
      </c>
      <c r="E44">
        <f>D44/B44</f>
        <v>0.6428571428571429</v>
      </c>
      <c r="K44">
        <f>K43/7</f>
        <v>14</v>
      </c>
    </row>
    <row r="45" spans="1:12" x14ac:dyDescent="0.25">
      <c r="A45">
        <v>13</v>
      </c>
      <c r="B45">
        <v>14</v>
      </c>
      <c r="C45">
        <f>A45-B45</f>
        <v>-1</v>
      </c>
      <c r="D45">
        <f>C45^2</f>
        <v>1</v>
      </c>
      <c r="E45">
        <f>D45/B45</f>
        <v>7.1428571428571425E-2</v>
      </c>
      <c r="J45" t="s">
        <v>40</v>
      </c>
      <c r="K45">
        <f>7-1</f>
        <v>6</v>
      </c>
    </row>
    <row r="46" spans="1:12" x14ac:dyDescent="0.25">
      <c r="A46">
        <v>14</v>
      </c>
      <c r="B46">
        <v>14</v>
      </c>
      <c r="C46">
        <f>A46-B46</f>
        <v>0</v>
      </c>
      <c r="D46">
        <f>C46^2</f>
        <v>0</v>
      </c>
      <c r="E46">
        <f>D46/B46</f>
        <v>0</v>
      </c>
      <c r="J46" t="s">
        <v>41</v>
      </c>
      <c r="L46">
        <v>0.05</v>
      </c>
    </row>
    <row r="47" spans="1:12" x14ac:dyDescent="0.25">
      <c r="A47">
        <v>13</v>
      </c>
      <c r="B47">
        <v>14</v>
      </c>
      <c r="C47">
        <f>A47-B47</f>
        <v>-1</v>
      </c>
      <c r="D47">
        <f>C47^2</f>
        <v>1</v>
      </c>
      <c r="E47">
        <f>D47/B47</f>
        <v>7.1428571428571425E-2</v>
      </c>
      <c r="J47" t="s">
        <v>42</v>
      </c>
      <c r="L47">
        <f>CHIINV(0.05,6)</f>
        <v>12.591587243743978</v>
      </c>
    </row>
    <row r="48" spans="1:12" x14ac:dyDescent="0.25">
      <c r="A48">
        <v>15</v>
      </c>
      <c r="B48">
        <v>14</v>
      </c>
      <c r="C48">
        <f>A48-B48</f>
        <v>1</v>
      </c>
      <c r="D48">
        <f>C48^2</f>
        <v>1</v>
      </c>
      <c r="E48">
        <f>D48/B48</f>
        <v>7.1428571428571425E-2</v>
      </c>
    </row>
    <row r="49" spans="1:5" x14ac:dyDescent="0.25">
      <c r="A49">
        <v>14</v>
      </c>
      <c r="B49">
        <v>14</v>
      </c>
      <c r="C49">
        <f>A49-B49</f>
        <v>0</v>
      </c>
      <c r="D49">
        <f>C49^2</f>
        <v>0</v>
      </c>
      <c r="E49">
        <f>D49/B49</f>
        <v>0</v>
      </c>
    </row>
    <row r="50" spans="1:5" x14ac:dyDescent="0.25">
      <c r="A50">
        <v>18</v>
      </c>
      <c r="B50">
        <v>14</v>
      </c>
      <c r="C50">
        <f>A50-B50</f>
        <v>4</v>
      </c>
      <c r="D50">
        <f>C50^2</f>
        <v>16</v>
      </c>
      <c r="E50">
        <f>D50/B50</f>
        <v>1.1428571428571428</v>
      </c>
    </row>
    <row r="51" spans="1:5" x14ac:dyDescent="0.25">
      <c r="A51" s="19">
        <f>SUM(A44:A50)</f>
        <v>98</v>
      </c>
      <c r="B51" s="19"/>
      <c r="C51" s="19"/>
      <c r="D51" s="19"/>
      <c r="E51" s="19">
        <f>SUM(E44:E50)</f>
        <v>2</v>
      </c>
    </row>
    <row r="52" spans="1:5" x14ac:dyDescent="0.25">
      <c r="A52" s="19">
        <f>K44</f>
        <v>14</v>
      </c>
      <c r="B52" s="19"/>
      <c r="C52" s="19"/>
      <c r="D52" s="19"/>
      <c r="E52" s="19"/>
    </row>
    <row r="55" spans="1:5" x14ac:dyDescent="0.25">
      <c r="A55" t="s">
        <v>43</v>
      </c>
    </row>
    <row r="58" spans="1:5" x14ac:dyDescent="0.25">
      <c r="A58" s="26" t="s">
        <v>44</v>
      </c>
      <c r="B58" s="26"/>
      <c r="C58" s="26">
        <v>1</v>
      </c>
      <c r="D58" s="26"/>
    </row>
    <row r="59" spans="1:5" x14ac:dyDescent="0.25">
      <c r="A59" s="26" t="s">
        <v>30</v>
      </c>
      <c r="B59" s="26"/>
      <c r="C59" s="26">
        <v>0.05</v>
      </c>
      <c r="D59" s="26"/>
    </row>
    <row r="60" spans="1:5" x14ac:dyDescent="0.25">
      <c r="A60" s="26" t="s">
        <v>31</v>
      </c>
      <c r="B60" s="26"/>
      <c r="C60" s="26">
        <f>CHIINV(0.05,1)</f>
        <v>3.8414588206941236</v>
      </c>
      <c r="D60" s="26"/>
    </row>
    <row r="63" spans="1:5" x14ac:dyDescent="0.25">
      <c r="A63" s="27"/>
      <c r="B63" s="28" t="s">
        <v>45</v>
      </c>
      <c r="C63" s="28" t="s">
        <v>46</v>
      </c>
      <c r="D63" s="28" t="s">
        <v>47</v>
      </c>
      <c r="E63" s="4"/>
    </row>
    <row r="64" spans="1:5" x14ac:dyDescent="0.25">
      <c r="A64" s="28" t="s">
        <v>49</v>
      </c>
      <c r="B64" s="22">
        <v>31</v>
      </c>
      <c r="C64" s="22">
        <v>469</v>
      </c>
      <c r="D64" s="22">
        <f>SUM(B64:C64)</f>
        <v>500</v>
      </c>
    </row>
    <row r="65" spans="1:9" x14ac:dyDescent="0.25">
      <c r="A65" s="28" t="s">
        <v>48</v>
      </c>
      <c r="B65" s="22">
        <v>185</v>
      </c>
      <c r="C65" s="22">
        <v>1315</v>
      </c>
      <c r="D65" s="22">
        <f>SUM(B65:C65)</f>
        <v>1500</v>
      </c>
    </row>
    <row r="66" spans="1:9" x14ac:dyDescent="0.25">
      <c r="A66" s="28" t="s">
        <v>50</v>
      </c>
      <c r="B66" s="22">
        <f>SUM(B64:B65)</f>
        <v>216</v>
      </c>
      <c r="C66" s="22">
        <f>SUM(C64:C65)</f>
        <v>1784</v>
      </c>
      <c r="D66" s="22">
        <f>SUM(B66:C66)</f>
        <v>2000</v>
      </c>
    </row>
    <row r="67" spans="1:9" x14ac:dyDescent="0.25">
      <c r="A67" s="25"/>
    </row>
    <row r="68" spans="1:9" x14ac:dyDescent="0.25">
      <c r="A68" s="25"/>
    </row>
    <row r="69" spans="1:9" x14ac:dyDescent="0.25">
      <c r="A69" s="29" t="s">
        <v>51</v>
      </c>
      <c r="B69" s="29" t="s">
        <v>52</v>
      </c>
      <c r="C69" s="29" t="s">
        <v>39</v>
      </c>
      <c r="D69" s="29" t="s">
        <v>12</v>
      </c>
      <c r="E69" s="29" t="s">
        <v>53</v>
      </c>
      <c r="F69" s="30"/>
      <c r="I69" t="s">
        <v>54</v>
      </c>
    </row>
    <row r="70" spans="1:9" x14ac:dyDescent="0.25">
      <c r="A70" s="24">
        <v>31</v>
      </c>
      <c r="B70" s="24">
        <f>B66*D64/D66</f>
        <v>54</v>
      </c>
      <c r="C70" s="24">
        <f>A70-B70</f>
        <v>-23</v>
      </c>
      <c r="D70" s="24">
        <f>C70^2</f>
        <v>529</v>
      </c>
      <c r="E70" s="24">
        <f>D70/B70</f>
        <v>9.7962962962962958</v>
      </c>
      <c r="F70" s="24"/>
      <c r="I70" t="s">
        <v>55</v>
      </c>
    </row>
    <row r="71" spans="1:9" x14ac:dyDescent="0.25">
      <c r="A71" s="24">
        <v>469</v>
      </c>
      <c r="B71" s="24">
        <f>C66*D64/D66</f>
        <v>446</v>
      </c>
      <c r="C71" s="24">
        <f>A71-B71</f>
        <v>23</v>
      </c>
      <c r="D71" s="24">
        <f>C71^2</f>
        <v>529</v>
      </c>
      <c r="E71" s="24">
        <f>D71/B71</f>
        <v>1.1860986547085202</v>
      </c>
      <c r="F71" s="24"/>
      <c r="I71" t="s">
        <v>56</v>
      </c>
    </row>
    <row r="72" spans="1:9" x14ac:dyDescent="0.25">
      <c r="A72" s="24">
        <v>185</v>
      </c>
      <c r="B72" s="24">
        <f>B66*D65/D66</f>
        <v>162</v>
      </c>
      <c r="C72" s="24">
        <f>A72-B72</f>
        <v>23</v>
      </c>
      <c r="D72" s="24">
        <f>C72^2</f>
        <v>529</v>
      </c>
      <c r="E72" s="24">
        <f>D72/B72</f>
        <v>3.2654320987654319</v>
      </c>
      <c r="F72" s="24"/>
    </row>
    <row r="73" spans="1:9" x14ac:dyDescent="0.25">
      <c r="A73" s="24">
        <v>1315</v>
      </c>
      <c r="B73" s="24">
        <f>C66*D65/D66</f>
        <v>1338</v>
      </c>
      <c r="C73" s="24">
        <f>A73-B73</f>
        <v>-23</v>
      </c>
      <c r="D73" s="24">
        <f>C73^2</f>
        <v>529</v>
      </c>
      <c r="E73" s="24">
        <f>D73/B73</f>
        <v>0.39536621823617341</v>
      </c>
      <c r="F73" s="24"/>
    </row>
    <row r="74" spans="1:9" x14ac:dyDescent="0.25">
      <c r="A74" s="18" t="s">
        <v>28</v>
      </c>
      <c r="B74" s="18"/>
      <c r="C74" s="18"/>
      <c r="D74" s="18"/>
      <c r="E74" s="18">
        <f>SUM(E70:E73)</f>
        <v>14.643193268006421</v>
      </c>
      <c r="F74" s="24"/>
    </row>
    <row r="75" spans="1:9" x14ac:dyDescent="0.25">
      <c r="A75" s="24"/>
      <c r="B75" s="24"/>
      <c r="C75" s="24"/>
      <c r="D75" s="24"/>
      <c r="E75" s="24"/>
      <c r="F75" s="24"/>
    </row>
    <row r="81" spans="1:11" x14ac:dyDescent="0.25">
      <c r="A81" s="31" t="s">
        <v>57</v>
      </c>
      <c r="B81" s="31" t="s">
        <v>58</v>
      </c>
      <c r="C81" s="31" t="s">
        <v>59</v>
      </c>
      <c r="D81" s="31" t="s">
        <v>61</v>
      </c>
      <c r="E81" s="31" t="s">
        <v>60</v>
      </c>
      <c r="F81" s="31"/>
    </row>
    <row r="82" spans="1:11" x14ac:dyDescent="0.25">
      <c r="A82">
        <v>120</v>
      </c>
      <c r="B82">
        <v>115</v>
      </c>
      <c r="C82">
        <f>A82-B82</f>
        <v>5</v>
      </c>
      <c r="D82">
        <f>C82^2</f>
        <v>25</v>
      </c>
      <c r="E82">
        <f>D82/B82</f>
        <v>0.21739130434782608</v>
      </c>
      <c r="J82" t="s">
        <v>63</v>
      </c>
      <c r="K82">
        <f>10-1</f>
        <v>9</v>
      </c>
    </row>
    <row r="83" spans="1:11" x14ac:dyDescent="0.25">
      <c r="A83">
        <v>124</v>
      </c>
      <c r="B83">
        <v>118</v>
      </c>
      <c r="C83">
        <f>A83-B83</f>
        <v>6</v>
      </c>
      <c r="D83">
        <f>C83^2</f>
        <v>36</v>
      </c>
      <c r="E83">
        <f>D83/B83</f>
        <v>0.30508474576271188</v>
      </c>
      <c r="J83" t="s">
        <v>64</v>
      </c>
      <c r="K83">
        <v>0.05</v>
      </c>
    </row>
    <row r="84" spans="1:11" x14ac:dyDescent="0.25">
      <c r="A84">
        <v>94</v>
      </c>
      <c r="B84">
        <v>90</v>
      </c>
      <c r="C84">
        <f>A84-B84</f>
        <v>4</v>
      </c>
      <c r="D84">
        <f>C84^2</f>
        <v>16</v>
      </c>
      <c r="E84">
        <f>D84/B84</f>
        <v>0.17777777777777778</v>
      </c>
      <c r="J84" t="s">
        <v>42</v>
      </c>
      <c r="K84">
        <f>CHIINV(0.05,9)</f>
        <v>16.918977604620451</v>
      </c>
    </row>
    <row r="85" spans="1:11" x14ac:dyDescent="0.25">
      <c r="A85">
        <v>122</v>
      </c>
      <c r="B85">
        <v>99</v>
      </c>
      <c r="C85">
        <f>A85-B85</f>
        <v>23</v>
      </c>
      <c r="D85">
        <f>C85^2</f>
        <v>529</v>
      </c>
      <c r="E85">
        <f>D85/B85</f>
        <v>5.3434343434343434</v>
      </c>
    </row>
    <row r="86" spans="1:11" x14ac:dyDescent="0.25">
      <c r="A86">
        <v>82</v>
      </c>
      <c r="B86">
        <v>108</v>
      </c>
      <c r="C86">
        <f>A86-B86</f>
        <v>-26</v>
      </c>
      <c r="D86">
        <f>C86^2</f>
        <v>676</v>
      </c>
      <c r="E86">
        <f>D86/B86</f>
        <v>6.2592592592592595</v>
      </c>
    </row>
    <row r="87" spans="1:11" x14ac:dyDescent="0.25">
      <c r="A87">
        <v>110</v>
      </c>
      <c r="B87">
        <v>76</v>
      </c>
      <c r="C87">
        <f>A87-B87</f>
        <v>34</v>
      </c>
      <c r="D87">
        <f>C87^2</f>
        <v>1156</v>
      </c>
      <c r="E87">
        <f>D87/B87</f>
        <v>15.210526315789474</v>
      </c>
    </row>
    <row r="88" spans="1:11" x14ac:dyDescent="0.25">
      <c r="A88">
        <v>108</v>
      </c>
      <c r="B88">
        <v>99</v>
      </c>
      <c r="C88">
        <f>A88-B88</f>
        <v>9</v>
      </c>
      <c r="D88">
        <f>C88^2</f>
        <v>81</v>
      </c>
      <c r="E88">
        <f>D88/B88</f>
        <v>0.81818181818181823</v>
      </c>
    </row>
    <row r="89" spans="1:11" x14ac:dyDescent="0.25">
      <c r="A89">
        <v>88</v>
      </c>
      <c r="B89">
        <v>94</v>
      </c>
      <c r="C89">
        <f>A89-B89</f>
        <v>-6</v>
      </c>
      <c r="D89">
        <f>C89^2</f>
        <v>36</v>
      </c>
      <c r="E89">
        <f>D89/B89</f>
        <v>0.38297872340425532</v>
      </c>
    </row>
    <row r="90" spans="1:11" x14ac:dyDescent="0.25">
      <c r="A90">
        <v>98</v>
      </c>
      <c r="B90">
        <v>86</v>
      </c>
      <c r="C90">
        <f>A90-B90</f>
        <v>12</v>
      </c>
      <c r="D90">
        <f>C90^2</f>
        <v>144</v>
      </c>
      <c r="E90">
        <f>D90/B90</f>
        <v>1.6744186046511629</v>
      </c>
      <c r="J90" t="s">
        <v>65</v>
      </c>
    </row>
    <row r="91" spans="1:11" x14ac:dyDescent="0.25">
      <c r="A91">
        <v>106</v>
      </c>
      <c r="B91">
        <v>84</v>
      </c>
      <c r="C91">
        <f>A91-B91</f>
        <v>22</v>
      </c>
      <c r="D91">
        <f>C91^2</f>
        <v>484</v>
      </c>
      <c r="E91">
        <f>D91/B91</f>
        <v>5.7619047619047619</v>
      </c>
    </row>
    <row r="92" spans="1:11" x14ac:dyDescent="0.25">
      <c r="A92" s="32" t="s">
        <v>62</v>
      </c>
      <c r="B92" s="32"/>
      <c r="C92" s="32"/>
      <c r="D92" s="32"/>
      <c r="E92" s="32">
        <f>SUM(E82:E91)</f>
        <v>36.150957654513391</v>
      </c>
    </row>
    <row r="96" spans="1:11" x14ac:dyDescent="0.25">
      <c r="A96" s="33" t="s">
        <v>66</v>
      </c>
      <c r="B96" s="33" t="s">
        <v>67</v>
      </c>
      <c r="C96" s="33" t="s">
        <v>68</v>
      </c>
      <c r="D96" s="33" t="s">
        <v>69</v>
      </c>
      <c r="E96" s="33" t="s">
        <v>70</v>
      </c>
      <c r="F96" s="33" t="s">
        <v>71</v>
      </c>
      <c r="J96" t="s">
        <v>73</v>
      </c>
      <c r="K96">
        <f>6-1</f>
        <v>5</v>
      </c>
    </row>
    <row r="97" spans="1:14" x14ac:dyDescent="0.25">
      <c r="A97">
        <v>1</v>
      </c>
      <c r="B97">
        <v>10</v>
      </c>
      <c r="C97">
        <v>20</v>
      </c>
      <c r="D97">
        <f>B97-C97</f>
        <v>-10</v>
      </c>
      <c r="E97">
        <f>D97^2</f>
        <v>100</v>
      </c>
      <c r="F97">
        <f>E97/C97</f>
        <v>5</v>
      </c>
      <c r="J97" t="s">
        <v>74</v>
      </c>
      <c r="K97">
        <v>0.05</v>
      </c>
    </row>
    <row r="98" spans="1:14" x14ac:dyDescent="0.25">
      <c r="A98">
        <v>2</v>
      </c>
      <c r="B98">
        <v>25</v>
      </c>
      <c r="C98">
        <v>20</v>
      </c>
      <c r="D98">
        <f>B98-C98</f>
        <v>5</v>
      </c>
      <c r="E98">
        <f>D98^2</f>
        <v>25</v>
      </c>
      <c r="F98">
        <f>E98/C98</f>
        <v>1.25</v>
      </c>
      <c r="J98" t="s">
        <v>42</v>
      </c>
      <c r="K98">
        <f>CHIINV(0.05,6)</f>
        <v>12.591587243743978</v>
      </c>
    </row>
    <row r="99" spans="1:14" x14ac:dyDescent="0.25">
      <c r="A99">
        <v>3</v>
      </c>
      <c r="B99">
        <v>30</v>
      </c>
      <c r="C99">
        <v>20</v>
      </c>
      <c r="D99">
        <f>B99-C99</f>
        <v>10</v>
      </c>
      <c r="E99">
        <f>D99^2</f>
        <v>100</v>
      </c>
      <c r="F99">
        <f>E99/C99</f>
        <v>5</v>
      </c>
    </row>
    <row r="100" spans="1:14" x14ac:dyDescent="0.25">
      <c r="A100">
        <v>4</v>
      </c>
      <c r="B100">
        <v>20</v>
      </c>
      <c r="C100">
        <v>20</v>
      </c>
      <c r="D100">
        <f>B100-C100</f>
        <v>0</v>
      </c>
      <c r="E100">
        <f>D100^2</f>
        <v>0</v>
      </c>
      <c r="F100">
        <f>E100/C100</f>
        <v>0</v>
      </c>
    </row>
    <row r="101" spans="1:14" x14ac:dyDescent="0.25">
      <c r="A101">
        <v>5</v>
      </c>
      <c r="B101">
        <v>30</v>
      </c>
      <c r="C101">
        <v>20</v>
      </c>
      <c r="D101">
        <f>B101-C101</f>
        <v>10</v>
      </c>
      <c r="E101">
        <f>D101^2</f>
        <v>100</v>
      </c>
      <c r="F101">
        <f>E101/C101</f>
        <v>5</v>
      </c>
    </row>
    <row r="102" spans="1:14" x14ac:dyDescent="0.25">
      <c r="A102">
        <v>6</v>
      </c>
      <c r="B102">
        <v>5</v>
      </c>
      <c r="C102">
        <v>20</v>
      </c>
      <c r="D102">
        <f>B102-C102</f>
        <v>-15</v>
      </c>
      <c r="E102">
        <f>D102^2</f>
        <v>225</v>
      </c>
      <c r="F102">
        <f>E102/C102</f>
        <v>11.25</v>
      </c>
      <c r="J102" t="s">
        <v>75</v>
      </c>
      <c r="N102" t="s">
        <v>76</v>
      </c>
    </row>
    <row r="103" spans="1:14" x14ac:dyDescent="0.25">
      <c r="A103" s="34" t="s">
        <v>72</v>
      </c>
      <c r="B103" s="34"/>
      <c r="C103" s="34"/>
      <c r="D103" s="34"/>
      <c r="E103" s="34"/>
      <c r="F103" s="34">
        <f>SUM(F97:F102)</f>
        <v>27.5</v>
      </c>
    </row>
    <row r="105" spans="1:14" x14ac:dyDescent="0.25">
      <c r="I105" s="34"/>
      <c r="J105" s="34"/>
      <c r="K105" s="34"/>
      <c r="L105" s="34"/>
    </row>
    <row r="106" spans="1:14" x14ac:dyDescent="0.25">
      <c r="I106" s="34"/>
      <c r="J106" s="34" t="s">
        <v>77</v>
      </c>
      <c r="K106" s="34">
        <f>(2-1)*(3-1)</f>
        <v>2</v>
      </c>
      <c r="L106" s="34"/>
    </row>
    <row r="107" spans="1:14" x14ac:dyDescent="0.25">
      <c r="I107" s="34"/>
      <c r="J107" s="34" t="s">
        <v>78</v>
      </c>
      <c r="K107" s="34">
        <f>0.05</f>
        <v>0.05</v>
      </c>
      <c r="L107" s="34"/>
    </row>
    <row r="108" spans="1:14" x14ac:dyDescent="0.25">
      <c r="A108" s="20"/>
      <c r="B108" s="20" t="s">
        <v>79</v>
      </c>
      <c r="C108" s="20" t="s">
        <v>80</v>
      </c>
      <c r="D108" s="20" t="s">
        <v>84</v>
      </c>
      <c r="I108" s="34"/>
      <c r="J108" s="34" t="s">
        <v>31</v>
      </c>
      <c r="K108" s="34">
        <f>CHIINV(0.05,2)</f>
        <v>5.9914645471079817</v>
      </c>
      <c r="L108" s="34"/>
    </row>
    <row r="109" spans="1:14" x14ac:dyDescent="0.25">
      <c r="A109" s="20" t="s">
        <v>81</v>
      </c>
      <c r="B109" s="21">
        <v>58</v>
      </c>
      <c r="C109" s="21">
        <v>35</v>
      </c>
      <c r="D109" s="21">
        <f>SUM(B109:C109)</f>
        <v>93</v>
      </c>
      <c r="I109" s="34"/>
      <c r="J109" s="34"/>
      <c r="K109" s="34"/>
      <c r="L109" s="34"/>
    </row>
    <row r="110" spans="1:14" x14ac:dyDescent="0.25">
      <c r="A110" s="20" t="s">
        <v>82</v>
      </c>
      <c r="B110" s="21">
        <v>11</v>
      </c>
      <c r="C110" s="21">
        <v>25</v>
      </c>
      <c r="D110" s="21">
        <f>SUM(B110:C110)</f>
        <v>36</v>
      </c>
      <c r="I110" s="34"/>
      <c r="J110" s="34"/>
      <c r="K110" s="34"/>
      <c r="L110" s="34"/>
    </row>
    <row r="111" spans="1:14" x14ac:dyDescent="0.25">
      <c r="A111" s="20" t="s">
        <v>83</v>
      </c>
      <c r="B111" s="21">
        <v>10</v>
      </c>
      <c r="C111" s="21">
        <v>23</v>
      </c>
      <c r="D111" s="21">
        <f>SUM(B111:C111)</f>
        <v>33</v>
      </c>
      <c r="I111" s="34"/>
      <c r="J111" s="34"/>
      <c r="K111" s="34"/>
      <c r="L111" s="34"/>
    </row>
    <row r="112" spans="1:14" x14ac:dyDescent="0.25">
      <c r="A112" s="20" t="s">
        <v>15</v>
      </c>
      <c r="B112" s="21">
        <f>SUM(B109:B111)</f>
        <v>79</v>
      </c>
      <c r="C112" s="21">
        <f>SUM(C109:C111)</f>
        <v>83</v>
      </c>
      <c r="D112" s="21">
        <f>SUM(B112:C112)</f>
        <v>162</v>
      </c>
    </row>
    <row r="115" spans="1:11" x14ac:dyDescent="0.25">
      <c r="A115" s="33" t="s">
        <v>67</v>
      </c>
      <c r="B115" s="33" t="s">
        <v>68</v>
      </c>
      <c r="C115" s="33" t="s">
        <v>69</v>
      </c>
      <c r="D115" s="33" t="s">
        <v>85</v>
      </c>
      <c r="E115" s="33" t="s">
        <v>71</v>
      </c>
      <c r="F115" s="34"/>
    </row>
    <row r="116" spans="1:11" x14ac:dyDescent="0.25">
      <c r="A116">
        <v>58</v>
      </c>
      <c r="B116">
        <f>D109*B112/D112</f>
        <v>45.351851851851855</v>
      </c>
      <c r="C116">
        <f>A116-B116</f>
        <v>12.648148148148145</v>
      </c>
      <c r="D116">
        <f>C116^2</f>
        <v>159.97565157750336</v>
      </c>
      <c r="E116">
        <f>D116/B116</f>
        <v>3.5274337220029319</v>
      </c>
    </row>
    <row r="117" spans="1:11" x14ac:dyDescent="0.25">
      <c r="A117">
        <v>35</v>
      </c>
      <c r="B117">
        <f>D109*C112/D112</f>
        <v>47.648148148148145</v>
      </c>
      <c r="C117">
        <f>A117-B117</f>
        <v>-12.648148148148145</v>
      </c>
      <c r="D117">
        <f>C117^2</f>
        <v>159.97565157750336</v>
      </c>
      <c r="E117">
        <f>D117/B117</f>
        <v>3.3574369161232731</v>
      </c>
    </row>
    <row r="118" spans="1:11" x14ac:dyDescent="0.25">
      <c r="A118">
        <v>11</v>
      </c>
      <c r="B118">
        <f>D110*B112/D112</f>
        <v>17.555555555555557</v>
      </c>
      <c r="C118">
        <f>A118-B118</f>
        <v>-6.5555555555555571</v>
      </c>
      <c r="D118">
        <f>C118^2</f>
        <v>42.975308641975332</v>
      </c>
      <c r="E118">
        <f>D118/B118</f>
        <v>2.4479606188466958</v>
      </c>
    </row>
    <row r="119" spans="1:11" x14ac:dyDescent="0.25">
      <c r="A119">
        <v>25</v>
      </c>
      <c r="B119">
        <f>D110*C112/D112</f>
        <v>18.444444444444443</v>
      </c>
      <c r="C119">
        <f>A119-B119</f>
        <v>6.5555555555555571</v>
      </c>
      <c r="D119">
        <f>C119^2</f>
        <v>42.975308641975332</v>
      </c>
      <c r="E119">
        <f>D119/B119</f>
        <v>2.3299866131191447</v>
      </c>
    </row>
    <row r="120" spans="1:11" x14ac:dyDescent="0.25">
      <c r="A120">
        <v>10</v>
      </c>
      <c r="B120">
        <f>B112*D111/D112</f>
        <v>16.092592592592592</v>
      </c>
      <c r="C120">
        <f>A120-B120</f>
        <v>-6.0925925925925917</v>
      </c>
      <c r="D120">
        <f>C120^2</f>
        <v>37.119684499314118</v>
      </c>
      <c r="E120">
        <f>D120/B120</f>
        <v>2.3066317180241227</v>
      </c>
    </row>
    <row r="121" spans="1:11" x14ac:dyDescent="0.25">
      <c r="A121">
        <v>23</v>
      </c>
      <c r="B121">
        <f>D111*C112/D112</f>
        <v>16.907407407407408</v>
      </c>
      <c r="C121">
        <f>A121-B121</f>
        <v>6.0925925925925917</v>
      </c>
      <c r="D121">
        <f>C121^2</f>
        <v>37.119684499314118</v>
      </c>
      <c r="E121">
        <f>D121/B121</f>
        <v>2.1954687436615141</v>
      </c>
    </row>
    <row r="122" spans="1:11" x14ac:dyDescent="0.25">
      <c r="A122" t="s">
        <v>62</v>
      </c>
      <c r="E122">
        <f>SUM(E116:E121)</f>
        <v>16.164918331777685</v>
      </c>
    </row>
    <row r="125" spans="1:11" x14ac:dyDescent="0.25">
      <c r="J125" t="s">
        <v>77</v>
      </c>
      <c r="K125">
        <f>(4-1)*(2-1)</f>
        <v>3</v>
      </c>
    </row>
    <row r="126" spans="1:11" x14ac:dyDescent="0.25">
      <c r="A126" s="35"/>
      <c r="B126" s="33" t="s">
        <v>86</v>
      </c>
      <c r="C126" s="33" t="s">
        <v>87</v>
      </c>
      <c r="D126" s="33" t="s">
        <v>88</v>
      </c>
      <c r="E126" s="33" t="s">
        <v>89</v>
      </c>
      <c r="F126" s="33" t="s">
        <v>92</v>
      </c>
      <c r="J126" t="s">
        <v>94</v>
      </c>
      <c r="K126">
        <v>0.05</v>
      </c>
    </row>
    <row r="127" spans="1:11" x14ac:dyDescent="0.25">
      <c r="A127" s="33" t="s">
        <v>90</v>
      </c>
      <c r="B127" s="34">
        <v>58</v>
      </c>
      <c r="C127" s="34">
        <v>63</v>
      </c>
      <c r="D127" s="34">
        <v>17</v>
      </c>
      <c r="E127" s="34">
        <v>44</v>
      </c>
      <c r="F127" s="34">
        <f>SUM(B127:E127)</f>
        <v>182</v>
      </c>
      <c r="J127" t="s">
        <v>31</v>
      </c>
      <c r="K127">
        <f>CHIINV(0.05,3)</f>
        <v>7.8147279032511792</v>
      </c>
    </row>
    <row r="128" spans="1:11" x14ac:dyDescent="0.25">
      <c r="A128" s="33" t="s">
        <v>91</v>
      </c>
      <c r="B128" s="34">
        <v>23</v>
      </c>
      <c r="C128" s="34">
        <v>96</v>
      </c>
      <c r="D128" s="34">
        <v>12</v>
      </c>
      <c r="E128" s="34">
        <v>87</v>
      </c>
      <c r="F128" s="34">
        <f>SUM(B128:E128)</f>
        <v>218</v>
      </c>
    </row>
    <row r="129" spans="1:10" x14ac:dyDescent="0.25">
      <c r="A129" s="35" t="s">
        <v>93</v>
      </c>
      <c r="B129" s="34">
        <f>SUM(B127:B128)</f>
        <v>81</v>
      </c>
      <c r="C129" s="34">
        <f>SUM(C127:C128)</f>
        <v>159</v>
      </c>
      <c r="D129" s="34">
        <f>SUM(D127:D128)</f>
        <v>29</v>
      </c>
      <c r="E129" s="34">
        <f>SUM(E127:E128)</f>
        <v>131</v>
      </c>
      <c r="F129" s="34">
        <f>SUM(B129:E129)</f>
        <v>400</v>
      </c>
    </row>
    <row r="130" spans="1:10" x14ac:dyDescent="0.25">
      <c r="A130" s="25"/>
    </row>
    <row r="132" spans="1:10" x14ac:dyDescent="0.25">
      <c r="A132" s="4" t="s">
        <v>95</v>
      </c>
      <c r="B132" s="4" t="s">
        <v>96</v>
      </c>
      <c r="C132" s="4" t="s">
        <v>97</v>
      </c>
      <c r="D132" s="4" t="s">
        <v>98</v>
      </c>
      <c r="E132" s="4" t="s">
        <v>99</v>
      </c>
      <c r="F132" s="4"/>
    </row>
    <row r="133" spans="1:10" x14ac:dyDescent="0.25">
      <c r="A133">
        <v>58</v>
      </c>
      <c r="B133">
        <f>F127*B129/F129</f>
        <v>36.854999999999997</v>
      </c>
      <c r="C133">
        <f>A133-B133</f>
        <v>21.145000000000003</v>
      </c>
      <c r="D133">
        <f>C133^2</f>
        <v>447.11102500000015</v>
      </c>
      <c r="E133">
        <f>D133/B133</f>
        <v>12.131624609957948</v>
      </c>
      <c r="J133" t="s">
        <v>100</v>
      </c>
    </row>
    <row r="134" spans="1:10" x14ac:dyDescent="0.25">
      <c r="A134">
        <v>63</v>
      </c>
      <c r="B134">
        <f>F127*C129/F129</f>
        <v>72.344999999999999</v>
      </c>
      <c r="C134">
        <f>A134-B134</f>
        <v>-9.3449999999999989</v>
      </c>
      <c r="D134">
        <f>C134^2</f>
        <v>87.329024999999973</v>
      </c>
      <c r="E134">
        <f>D134/B134</f>
        <v>1.207119013062409</v>
      </c>
    </row>
    <row r="135" spans="1:10" x14ac:dyDescent="0.25">
      <c r="A135">
        <v>17</v>
      </c>
      <c r="B135">
        <f>F127*D129/F129</f>
        <v>13.195</v>
      </c>
      <c r="C135">
        <f>A135-B135</f>
        <v>3.8049999999999997</v>
      </c>
      <c r="D135">
        <f>C135^2</f>
        <v>14.478024999999997</v>
      </c>
      <c r="E135">
        <f>D135/B135</f>
        <v>1.0972356953391433</v>
      </c>
    </row>
    <row r="136" spans="1:10" x14ac:dyDescent="0.25">
      <c r="A136">
        <v>44</v>
      </c>
      <c r="B136">
        <f>F127*E129/F129</f>
        <v>59.604999999999997</v>
      </c>
      <c r="C136">
        <f>A136-B136</f>
        <v>-15.604999999999997</v>
      </c>
      <c r="D136">
        <f>C136^2</f>
        <v>243.5160249999999</v>
      </c>
      <c r="E136">
        <f>D136/B136</f>
        <v>4.0854966026340058</v>
      </c>
    </row>
    <row r="137" spans="1:10" x14ac:dyDescent="0.25">
      <c r="A137">
        <v>23</v>
      </c>
      <c r="B137">
        <f>F128*B129/F129</f>
        <v>44.145000000000003</v>
      </c>
      <c r="C137">
        <f>A137-B137</f>
        <v>-21.145000000000003</v>
      </c>
      <c r="D137">
        <f>C137^2</f>
        <v>447.11102500000015</v>
      </c>
      <c r="E137">
        <f>D137/B137</f>
        <v>10.128237059689662</v>
      </c>
    </row>
    <row r="138" spans="1:10" x14ac:dyDescent="0.25">
      <c r="A138">
        <v>96</v>
      </c>
      <c r="B138">
        <f>F128*C129/F129</f>
        <v>86.655000000000001</v>
      </c>
      <c r="C138">
        <f>A138-B138</f>
        <v>9.3449999999999989</v>
      </c>
      <c r="D138">
        <f>C138^2</f>
        <v>87.329024999999973</v>
      </c>
      <c r="E138">
        <f>D138/B138</f>
        <v>1.0077782586117359</v>
      </c>
    </row>
    <row r="139" spans="1:10" x14ac:dyDescent="0.25">
      <c r="A139">
        <v>12</v>
      </c>
      <c r="B139">
        <f>F128*D129/F129</f>
        <v>15.805</v>
      </c>
      <c r="C139">
        <f>A139-B139</f>
        <v>-3.8049999999999997</v>
      </c>
      <c r="D139">
        <f>C139^2</f>
        <v>14.478024999999997</v>
      </c>
      <c r="E139">
        <f>D139/B139</f>
        <v>0.91604080987029401</v>
      </c>
    </row>
    <row r="140" spans="1:10" x14ac:dyDescent="0.25">
      <c r="A140">
        <v>87</v>
      </c>
      <c r="B140">
        <f>F128*E129/F129</f>
        <v>71.394999999999996</v>
      </c>
      <c r="C140">
        <f>A140-B140</f>
        <v>15.605000000000004</v>
      </c>
      <c r="D140">
        <f>C140^2</f>
        <v>243.51602500000013</v>
      </c>
      <c r="E140">
        <f>D140/B140</f>
        <v>3.4108274388962831</v>
      </c>
    </row>
    <row r="141" spans="1:10" x14ac:dyDescent="0.25">
      <c r="E141">
        <f>SUM(E133:E140)</f>
        <v>33.984359488061479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919995425520</dc:creator>
  <cp:lastModifiedBy>919995425520</cp:lastModifiedBy>
  <dcterms:created xsi:type="dcterms:W3CDTF">2022-01-24T09:22:12Z</dcterms:created>
  <dcterms:modified xsi:type="dcterms:W3CDTF">2022-01-24T11:36:07Z</dcterms:modified>
</cp:coreProperties>
</file>